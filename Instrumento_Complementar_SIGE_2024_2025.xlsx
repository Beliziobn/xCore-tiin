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PA" state="visible" r:id="rId4"/>
    <sheet sheetId="2" name="1 - ALUNOS MATRICULADOS" state="visible" r:id="rId5"/>
    <sheet sheetId="3" name="2 - PESSOAL_DOCENTE" state="visible" r:id="rId6"/>
    <sheet sheetId="4" name="3 - INFRAESTRUTURAS" state="visible" r:id="rId7"/>
    <sheet sheetId="5" name="4 - APROVEITAMENTO" state="visible" r:id="rId8"/>
    <sheet sheetId="6" name="5 - ALUNOS REPETENTES" state="visible" r:id="rId9"/>
    <sheet sheetId="7" name="6 - NECESSIDADES EDUCATIVA ESPE" state="visible" r:id="rId10"/>
    <sheet sheetId="8" name="7 - PESSOAL_NAO_DOCENTE" state="visible" r:id="rId11"/>
    <sheet sheetId="9" name="8 - ESCOLAS Q N ENVIARAM DADOS" state="visible" r:id="rId12"/>
    <sheet sheetId="10" name="9 - CONSOLIDADO" state="visible" r:id="rId13"/>
    <sheet sheetId="11" name="10 - BASE DE DADOS" state="visible" r:id="rId14"/>
  </sheets>
  <calcPr calcId="171027"/>
</workbook>
</file>

<file path=xl/sharedStrings.xml><?xml version="1.0" encoding="utf-8"?>
<sst xmlns="http://schemas.openxmlformats.org/spreadsheetml/2006/main" count="7293" uniqueCount="492">
  <si>
    <t>REPÚBLICA DE ANGOLA</t>
  </si>
  <si>
    <t>MINISTÉRIO DA EDUCAÇÃO</t>
  </si>
  <si>
    <t>GABINETE DE ESTUDOS, PLANEAMENTO E ESTATÍSTICA</t>
  </si>
  <si>
    <t>DEPARTAMENTO DE ESTUDOS E ESTATÍSTICA</t>
  </si>
  <si>
    <t>INSTRUMENTO COMPLEMENTAR DO SIGE 2024/2025</t>
  </si>
  <si>
    <t>PROVÍNCIA:</t>
  </si>
  <si>
    <t/>
  </si>
  <si>
    <t>MUNICÍPIO:</t>
  </si>
  <si>
    <t>OBSERVAÇÕES GERAIS</t>
  </si>
  <si>
    <t>EDUCAÇÃO PRÉ-ESCOLAR</t>
  </si>
  <si>
    <t xml:space="preserve">INSTRUÇÕES DE PREENCHIMENTO:
1. Por definição, todos os campos estarão preenchidos com 0;
2. Sempre colar dados provenientes de outros instrumentos, deve-se colar como número/valores para não remover a formatação da célula;
3. Não alterar a estrutura de colunas, linhas e fórmulas automáticas;
4. Distinguir sempre MF (Masculino + Feminino) de F (Feminino);
5. O preenchimento fidedigno é de carácter obrigatório nos termos da legislação em vigor.</t>
  </si>
  <si>
    <t>ENSINO PRIMÁRIO</t>
  </si>
  <si>
    <t>ENSINO SECUNDÁRIO I CICLO</t>
  </si>
  <si>
    <t>ENSINO SECUNDÁRIO II CICLO</t>
  </si>
  <si>
    <t>EDUCAÇÃO ESPECIAL</t>
  </si>
  <si>
    <t>EDUCAÇÃO DE JOVENS E ADULTOS</t>
  </si>
  <si>
    <t>COMPLEXO ESCOLAR</t>
  </si>
  <si>
    <t>TOTAL</t>
  </si>
  <si>
    <t>Data de entrega pelo GEPE:</t>
  </si>
  <si>
    <t>23 de Setembro de 2025</t>
  </si>
  <si>
    <t>Data de entrega ao GPE/SPE pela DME/SME:</t>
  </si>
  <si>
    <t>SECÇÃO 1 - DADOS ESTATÍSTICOS SOBRE ALUNOS MATRICULADOS</t>
  </si>
  <si>
    <t>1. EDUCAÇÃO PRÉ-ESCOLAR</t>
  </si>
  <si>
    <t>TABELA 1.1 – Crianças matriculadas nas Creches, Jardins de Infância, Centros Infantis, Centros Infantis Comunitários e Centros de Educação Comunitária</t>
  </si>
  <si>
    <t>ETAPA</t>
  </si>
  <si>
    <t>NATUREZA DE ENSINO</t>
  </si>
  <si>
    <t>3 Meses aos 3 anos</t>
  </si>
  <si>
    <t>3 Anos</t>
  </si>
  <si>
    <t>4 Anos</t>
  </si>
  <si>
    <t>5 Anos</t>
  </si>
  <si>
    <t>6 Anos</t>
  </si>
  <si>
    <t>Mais de 6 Anos</t>
  </si>
  <si>
    <t>OBSERVAÇÕES</t>
  </si>
  <si>
    <t>Total (MF)</t>
  </si>
  <si>
    <t>Total (F)</t>
  </si>
  <si>
    <t>MF</t>
  </si>
  <si>
    <t>F</t>
  </si>
  <si>
    <t>CRECHE</t>
  </si>
  <si>
    <t>PÚBLICA</t>
  </si>
  <si>
    <t>PÚBLICO-PRIVADA</t>
  </si>
  <si>
    <t>PRIVADA</t>
  </si>
  <si>
    <t>JARDIM DE INFANCIA1</t>
  </si>
  <si>
    <t>JARDIM DE INFANCIA2</t>
  </si>
  <si>
    <t>CENTROS INFANTIS</t>
  </si>
  <si>
    <t>CENTROS INFANTIS COMUNITÁRIOS</t>
  </si>
  <si>
    <t>CENTROS DE EDUCAÇÃO COMUNITÁRIA</t>
  </si>
  <si>
    <t>TOTAL GERAL</t>
  </si>
  <si>
    <t>TODAS</t>
  </si>
  <si>
    <t>TABELA 1.2 – Alunos matriculados na Classe de Iniciação nas escolas</t>
  </si>
  <si>
    <t>CLASSE</t>
  </si>
  <si>
    <t>7 Anos</t>
  </si>
  <si>
    <t>8 Anos</t>
  </si>
  <si>
    <t>9 Anos</t>
  </si>
  <si>
    <t>10 Anos</t>
  </si>
  <si>
    <t>11 Anos</t>
  </si>
  <si>
    <t>12 Anos</t>
  </si>
  <si>
    <t>13 Anos</t>
  </si>
  <si>
    <t>Mais de 13 Anos</t>
  </si>
  <si>
    <t>INICIAÇÃO</t>
  </si>
  <si>
    <t>TABELA 1.3 – Alunos com deficiência em escolas específicas de Ensino Especial (Sensorial / Iniciação)</t>
  </si>
  <si>
    <t>Auditiva</t>
  </si>
  <si>
    <t>Intelectual</t>
  </si>
  <si>
    <t>Visual</t>
  </si>
  <si>
    <t>Surdo-Cegueira</t>
  </si>
  <si>
    <t>Múltipla</t>
  </si>
  <si>
    <t>Físico Motora</t>
  </si>
  <si>
    <t>Espectro-Autista</t>
  </si>
  <si>
    <t>Altas Habilidades</t>
  </si>
  <si>
    <t>2. ENSINO PRIMÁRIO</t>
  </si>
  <si>
    <t>TABELA 2.1 – Alunos Matriculados no Ensino Primário Regular</t>
  </si>
  <si>
    <t>ATENÇÃO: NÃO DEVEM ESTAR SOMADOS OS DADOS DE PRAEER, EJA NEM EDUCAÇÃO ESPECIAL</t>
  </si>
  <si>
    <t>SUBSISTEMA</t>
  </si>
  <si>
    <t>Ensino Primário</t>
  </si>
  <si>
    <t>1ª Classe</t>
  </si>
  <si>
    <t>2ª Classe</t>
  </si>
  <si>
    <t>3ª Classe</t>
  </si>
  <si>
    <t>4ª Classe</t>
  </si>
  <si>
    <t>5ª Classe</t>
  </si>
  <si>
    <t>6ª Classe</t>
  </si>
  <si>
    <t>SUBTOTAL</t>
  </si>
  <si>
    <t>1ª a 6ª</t>
  </si>
  <si>
    <t>TOTAL POR CLASSE</t>
  </si>
  <si>
    <t>REGULAR</t>
  </si>
  <si>
    <t>TABELA 2.2 – Alunos do Ensino Primário em escolas específicas de Ensino Especial (Apenas Pública)</t>
  </si>
  <si>
    <t>NATUREZA</t>
  </si>
  <si>
    <t>TABELA 2.3 – Alunos Matriculados no PRAEER (Programa de Aceleração Escolar)</t>
  </si>
  <si>
    <t>14 Anos</t>
  </si>
  <si>
    <t>Mais de 14 Anos</t>
  </si>
  <si>
    <t>Etapa 1</t>
  </si>
  <si>
    <t>Etapa 2</t>
  </si>
  <si>
    <t>Etapa 3</t>
  </si>
  <si>
    <t>TOTAL POR ETAPA</t>
  </si>
  <si>
    <t>PRAEER</t>
  </si>
  <si>
    <t>TABELA 2.4 – Alunos Matriculados na Educação de Jovens e Adultos (EJA) - Ensino Primário</t>
  </si>
  <si>
    <t>MÓDULO</t>
  </si>
  <si>
    <t>Menos de 16 Anos</t>
  </si>
  <si>
    <t>16 Anos</t>
  </si>
  <si>
    <t>17 Anos</t>
  </si>
  <si>
    <t>18 Anos</t>
  </si>
  <si>
    <t>19 Anos</t>
  </si>
  <si>
    <t>20 Anos</t>
  </si>
  <si>
    <t>21 Anos</t>
  </si>
  <si>
    <t>22 Anos</t>
  </si>
  <si>
    <t>23 Anos</t>
  </si>
  <si>
    <t>Mais de 23 Anos</t>
  </si>
  <si>
    <t>Módulo 1</t>
  </si>
  <si>
    <t>Módulo 2</t>
  </si>
  <si>
    <t>Módulo 3</t>
  </si>
  <si>
    <t>TOTAL POR MÓDULO</t>
  </si>
  <si>
    <t>EJA PRIMÁRIO</t>
  </si>
  <si>
    <t>3. ENSINO SECUNDÁRIO DO I CICLO</t>
  </si>
  <si>
    <t>TABELA 3.1 – Alunos Matriculados no I Ciclo do Ensino Secundário Geral Regular</t>
  </si>
  <si>
    <t>15 Anos</t>
  </si>
  <si>
    <t>Mais de 18 Anos</t>
  </si>
  <si>
    <t>7ª Classe</t>
  </si>
  <si>
    <t>8ª Classe</t>
  </si>
  <si>
    <t>9ª Classe</t>
  </si>
  <si>
    <t>I CICLO GERAL</t>
  </si>
  <si>
    <t>TABELA 3.2 – Alunos do I Ciclo em escolas específicas de Ensino Especial</t>
  </si>
  <si>
    <t>7ª a 9ª</t>
  </si>
  <si>
    <t>TABELA 3.3 – Alunos Matriculados no I Ciclo do Ensino Técnico-Profissional</t>
  </si>
  <si>
    <t>I CICLO TÉCNICO</t>
  </si>
  <si>
    <t>TABELA 3.4 – Alunos Matriculados no I Ciclo da Educação de Jovens e Adultos (EJA)</t>
  </si>
  <si>
    <t>ANO</t>
  </si>
  <si>
    <t>1º Ano</t>
  </si>
  <si>
    <t>2º Ano</t>
  </si>
  <si>
    <t>TOTAL POR ANO</t>
  </si>
  <si>
    <t>I CICLO EJA</t>
  </si>
  <si>
    <t>4. ENSINO SECUNDÁRIO DO II CICLO</t>
  </si>
  <si>
    <t>TABELA 4.1 – Alunos Matriculados no II Ciclo do Ensino Secundário Geral</t>
  </si>
  <si>
    <t>Menos de 15 Anos</t>
  </si>
  <si>
    <t>Mais de 20 Anos</t>
  </si>
  <si>
    <t>10ª Classe</t>
  </si>
  <si>
    <t>11ª Classe</t>
  </si>
  <si>
    <t>12ª Classe</t>
  </si>
  <si>
    <t>II CICLO GERAL</t>
  </si>
  <si>
    <t>TABELA 4.2 – Alunos do II Ciclo em escolas específicas de Ensino Especial</t>
  </si>
  <si>
    <t>13ª Classe</t>
  </si>
  <si>
    <t>10ª a 13ª</t>
  </si>
  <si>
    <t>TABELA 4.3 – Alunos Matriculados no Ensino Técnico-Profissional (II Ciclo)</t>
  </si>
  <si>
    <t>II CICLO TÉCNICO</t>
  </si>
  <si>
    <t>TABELA 4.4 – Alunos Matriculados no Ensino Pedagógico / Magistério (Formação de Professores)</t>
  </si>
  <si>
    <t>MAGISTÉRIO</t>
  </si>
  <si>
    <t>TOTAL DE ALUNOS MATRICULADOS - CONSOLIDADO</t>
  </si>
  <si>
    <t>NÍVEL / SUBSISTEMA</t>
  </si>
  <si>
    <t>DISCRIMINAÇÃO</t>
  </si>
  <si>
    <t>TOTAL (MF)</t>
  </si>
  <si>
    <t>TOTAL (F)</t>
  </si>
  <si>
    <t>Educação Pré-Escolar (Creches e Jardins)</t>
  </si>
  <si>
    <t>Total Consolidado</t>
  </si>
  <si>
    <t>Classe de Iniciação</t>
  </si>
  <si>
    <t>Educação Especial (Iniciação)</t>
  </si>
  <si>
    <t>Ensino Primário Regular</t>
  </si>
  <si>
    <t>Ensino Primário Especial</t>
  </si>
  <si>
    <t>PRAEER (Aceleração Escolar)</t>
  </si>
  <si>
    <t>EJA Primário</t>
  </si>
  <si>
    <t>I Ciclo Geral Regular</t>
  </si>
  <si>
    <t>I Ciclo Educação Especial</t>
  </si>
  <si>
    <t>I Ciclo Técnico-Profissional</t>
  </si>
  <si>
    <t>I Ciclo EJA</t>
  </si>
  <si>
    <t>II Ciclo Geral Regular</t>
  </si>
  <si>
    <t>II Ciclo Educação Especial</t>
  </si>
  <si>
    <t>II Ciclo Técnico-Profissional</t>
  </si>
  <si>
    <t>II Ciclo Magistério / Pedagógico</t>
  </si>
  <si>
    <t>TOTAL GERAL DO MUNICÍPIO</t>
  </si>
  <si>
    <t>TODOS OS NÍVEIS</t>
  </si>
  <si>
    <t>SECÇÃO 2 - DADOS ESTATÍSTICOS SOBRE PESSOAL DOCENTE EM EXERCÍCIO</t>
  </si>
  <si>
    <t>TABELA 2.1 – Pessoal Docente na Educação Pré-Escolar</t>
  </si>
  <si>
    <t>NATUREZA DA ESCOLA</t>
  </si>
  <si>
    <t>CATEGORIA / FUNÇÃO</t>
  </si>
  <si>
    <t>TOTAL DE DOCENTES</t>
  </si>
  <si>
    <t>Mestrado / Doutoramento</t>
  </si>
  <si>
    <t>Licenciatura em Ensino</t>
  </si>
  <si>
    <t>Outras Licenciaturas</t>
  </si>
  <si>
    <t>Bacharelato</t>
  </si>
  <si>
    <t>Técnico Médio Pedagógico</t>
  </si>
  <si>
    <t>Outros Técnicos Médios</t>
  </si>
  <si>
    <t>Educadores / Professores Titulares</t>
  </si>
  <si>
    <t>Professores Coadjuvantes</t>
  </si>
  <si>
    <t>Professores Estagiários</t>
  </si>
  <si>
    <t>PRÉ-ESCOLAR</t>
  </si>
  <si>
    <t>TABELA 2.2 – Pessoal Docente no Ensino Primário (Regular, PRAEER, EJA e Especial)</t>
  </si>
  <si>
    <t>TABELA 2.3 – Pessoal Docente no Ensino Secundário do I Ciclo</t>
  </si>
  <si>
    <t>SECUNDÁRIO I CICLO</t>
  </si>
  <si>
    <t>TABELA 2.4 – Pessoal Docente no Ensino Secundário do II Ciclo (Geral, Técnico e Pedagógico)</t>
  </si>
  <si>
    <t>SECUNDÁRIO II CICLO</t>
  </si>
  <si>
    <t>CONSOLIDADO GERAL DE PESSOAL DOCENTE</t>
  </si>
  <si>
    <t>NÍVEL DE ENSINO</t>
  </si>
  <si>
    <t>TOTAL DOCENTES (MF)</t>
  </si>
  <si>
    <t>TOTAL DOCENTES (F)</t>
  </si>
  <si>
    <t>Educação Pré-Escolar</t>
  </si>
  <si>
    <t>Docentes em Exercício</t>
  </si>
  <si>
    <t>Ensino Secundário I Ciclo</t>
  </si>
  <si>
    <t>Ensino Secundário II Ciclo</t>
  </si>
  <si>
    <t>SECÇÃO 3 - DADOS ESTATÍSTICOS SOBRE INFRAESTRUTURAS E ESCOLAS EM FUNCIONAMENTO</t>
  </si>
  <si>
    <t>TABELA 3.1 – Estabelecimentos de Ensino e Salas de Aula em Funcionamento por Tipologia e Natureza</t>
  </si>
  <si>
    <t>DESIGNAÇÃO / TIPO DE ESCOLA</t>
  </si>
  <si>
    <t>NATUREZA JURÍDICA</t>
  </si>
  <si>
    <t>ESCOLAS EM FUNCIONAMENTO</t>
  </si>
  <si>
    <t>SALAS DE AULA UTILIZADAS</t>
  </si>
  <si>
    <t>LAVATÓRIOS / SANITÁRIOS</t>
  </si>
  <si>
    <t>COM ÁGUA</t>
  </si>
  <si>
    <t>COM ELETRICIDADE</t>
  </si>
  <si>
    <t>COMPUTADORES</t>
  </si>
  <si>
    <t>COM INTERNET</t>
  </si>
  <si>
    <t>Definitivas</t>
  </si>
  <si>
    <t>Provisórias</t>
  </si>
  <si>
    <t>Ar Livre / Tendas</t>
  </si>
  <si>
    <t>TOTAL SALAS</t>
  </si>
  <si>
    <t>Escola Primária</t>
  </si>
  <si>
    <t>Colégio</t>
  </si>
  <si>
    <t>Escola Secundária do I Ciclo</t>
  </si>
  <si>
    <t>Liceu</t>
  </si>
  <si>
    <t>Instituto Politécnico / Técnico</t>
  </si>
  <si>
    <t>Magistério / Instituto Médio Pedagógico</t>
  </si>
  <si>
    <t>Complexo Escolar (Iniciação ao Primário)</t>
  </si>
  <si>
    <t>Complexo Escolar (Primário e I Ciclo)</t>
  </si>
  <si>
    <t>Complexo Escolar (I e II Ciclo)</t>
  </si>
  <si>
    <t>Complexo Escolar (Geral Completo)</t>
  </si>
  <si>
    <t>Escola Específica de Educação Especial</t>
  </si>
  <si>
    <t>Creches e Jardins de Infância</t>
  </si>
  <si>
    <t>TODAS AS TIPOLOGIAS</t>
  </si>
  <si>
    <t>SECÇÃO 4 - DADOS ESTATÍSTICOS SOBRE APROVEITAMENTO ESCOLAR</t>
  </si>
  <si>
    <t>TABELA 4.1 – Rendimento e Aproveitamento Escolar por Nível de Ensino, Classe e Natureza</t>
  </si>
  <si>
    <t>SUBSISTEMA / NÍVEL</t>
  </si>
  <si>
    <t>CLASSE / ETAPA</t>
  </si>
  <si>
    <t>ALUNOS MATRICULADOS</t>
  </si>
  <si>
    <t>ALUNOS APROVADOS</t>
  </si>
  <si>
    <t>ALUNOS REPROVADOS</t>
  </si>
  <si>
    <t>ALUNOS DESISTIDOS</t>
  </si>
  <si>
    <t>VALIDAÇÃO (CONSISTÊNCIA)</t>
  </si>
  <si>
    <t>DIFERENÇA (RESIDUAL 0 = OK)</t>
  </si>
  <si>
    <t>INDICADORES (%)</t>
  </si>
  <si>
    <t>Validação (MF)</t>
  </si>
  <si>
    <t>Validação (F)</t>
  </si>
  <si>
    <t>Residual (MF)</t>
  </si>
  <si>
    <t>Residual (F)</t>
  </si>
  <si>
    <t>% Aprovados</t>
  </si>
  <si>
    <t>% Desistentes</t>
  </si>
  <si>
    <t>Creche (0-1 ano) - Turno da Manhã</t>
  </si>
  <si>
    <t>Creche (1-2 anos) - Turno da Manhã</t>
  </si>
  <si>
    <t>Jardim de Infância (3 anos) - Turno da Manhã</t>
  </si>
  <si>
    <t>Jardim de Infância (4 anos) - Turno da Manhã</t>
  </si>
  <si>
    <t>Jardim de Infância (5 anos) - Turno da Manhã</t>
  </si>
  <si>
    <t>Iniciação (5 anos) - Turno da Manhã</t>
  </si>
  <si>
    <t>Iniciação (6 anos) - Turno da Manhã</t>
  </si>
  <si>
    <t>Centro Infantil Comunitário (CIC) - Turno da Manhã</t>
  </si>
  <si>
    <t>COMUNITÁRIA</t>
  </si>
  <si>
    <t>Creche (0-1 ano) - Turno da Tarde</t>
  </si>
  <si>
    <t>Creche (1-2 anos) - Turno da Tarde</t>
  </si>
  <si>
    <t>Jardim de Infância (3 anos) - Turno da Tarde</t>
  </si>
  <si>
    <t>Jardim de Infância (4 anos) - Turno da Tarde</t>
  </si>
  <si>
    <t>Jardim de Infância (5 anos) - Turno da Tarde</t>
  </si>
  <si>
    <t>Iniciação (5 anos) - Turno da Tarde</t>
  </si>
  <si>
    <t>Iniciação (6 anos) - Turno da Tarde</t>
  </si>
  <si>
    <t>Centro Infantil Comunitário (CIC) - Turno da Tarde</t>
  </si>
  <si>
    <t>Creche (0-1 ano) - Regime Integral</t>
  </si>
  <si>
    <t>Creche (1-2 anos) - Regime Integral</t>
  </si>
  <si>
    <t>Jardim de Infância (3 anos) - Regime Integral</t>
  </si>
  <si>
    <t>Jardim de Infância (4 anos) - Regime Integral</t>
  </si>
  <si>
    <t>Jardim de Infância (5 anos) - Regime Integral</t>
  </si>
  <si>
    <t>Iniciação (5 anos) - Regime Integral</t>
  </si>
  <si>
    <t>Iniciação (6 anos) - Regime Integral</t>
  </si>
  <si>
    <t>Centro Infantil Comunitário (CIC) - Regime Integral</t>
  </si>
  <si>
    <t>Creche (0-1 ano) - Geral</t>
  </si>
  <si>
    <t>Creche (1-2 anos) - Geral</t>
  </si>
  <si>
    <t>Jardim de Infância (3 anos) - Geral</t>
  </si>
  <si>
    <t>Jardim de Infância (4 anos) - Geral</t>
  </si>
  <si>
    <t>Jardim de Infância (5 anos) - Geral</t>
  </si>
  <si>
    <t>Iniciação (5 anos) - Geral</t>
  </si>
  <si>
    <t>Iniciação (6 anos) - Geral</t>
  </si>
  <si>
    <t>Centro Infantil Comunitário (CIC) - Geral</t>
  </si>
  <si>
    <t>TODAS AS MODALIDADES</t>
  </si>
  <si>
    <t>1ª Classe (Regular)</t>
  </si>
  <si>
    <t>2ª Classe (Regular)</t>
  </si>
  <si>
    <t>3ª Classe (Regular)</t>
  </si>
  <si>
    <t>4ª Classe (Regular)</t>
  </si>
  <si>
    <t>5ª Classe (Regular)</t>
  </si>
  <si>
    <t>6ª Classe (Regular)</t>
  </si>
  <si>
    <t>1ª Classe (PRAEER - Aceleração Escolar)</t>
  </si>
  <si>
    <t>2ª Classe (PRAEER - Aceleração Escolar)</t>
  </si>
  <si>
    <t>3ª Classe (PRAEER - Aceleração Escolar)</t>
  </si>
  <si>
    <t>4ª Classe (PRAEER - Aceleração Escolar)</t>
  </si>
  <si>
    <t>5ª Classe (PRAEER - Aceleração Escolar)</t>
  </si>
  <si>
    <t>6ª Classe (PRAEER - Aceleração Escolar)</t>
  </si>
  <si>
    <t>1ª Classe (EJA - Educação de Adultos)</t>
  </si>
  <si>
    <t>2ª Classe (EJA - Educação de Adultos)</t>
  </si>
  <si>
    <t>3ª Classe (EJA - Educação de Adultos)</t>
  </si>
  <si>
    <t>4ª Classe (EJA - Educação de Adultos)</t>
  </si>
  <si>
    <t>5ª Classe (EJA - Educação de Adultos)</t>
  </si>
  <si>
    <t>6ª Classe (EJA - Educação de Adultos)</t>
  </si>
  <si>
    <t>1ª À 6ª CLASSE / REGULAR, PRAEER E EJA</t>
  </si>
  <si>
    <t>I Ciclo Ensino Secundário</t>
  </si>
  <si>
    <t>7ª Classe - Ensino Secundário Geral</t>
  </si>
  <si>
    <t>8ª Classe - Ensino Secundário Geral</t>
  </si>
  <si>
    <t>9ª Classe - Ensino Secundário Geral</t>
  </si>
  <si>
    <t>7ª Classe - Técnico-Profissional</t>
  </si>
  <si>
    <t>8ª Classe - Técnico-Profissional</t>
  </si>
  <si>
    <t>9ª Classe - Técnico-Profissional</t>
  </si>
  <si>
    <t>7ª Classe - EJA Secundário</t>
  </si>
  <si>
    <t>8ª Classe - EJA Secundário</t>
  </si>
  <si>
    <t>9ª Classe - EJA Secundário</t>
  </si>
  <si>
    <t>I CICLO DO ENSINO SECUNDÁRIO</t>
  </si>
  <si>
    <t>7ª, 8ª E 9ª CLASSE</t>
  </si>
  <si>
    <t>II Ciclo Ensino Secundário</t>
  </si>
  <si>
    <t>10ª Classe (Ciências Físicas e Biológicas)</t>
  </si>
  <si>
    <t>11ª Classe (Ciências Físicas e Biológicas)</t>
  </si>
  <si>
    <t>12ª Classe (Ciências Físicas e Biológicas)</t>
  </si>
  <si>
    <t>13ª Classe (Ciências Físicas e Biológicas)</t>
  </si>
  <si>
    <t>10ª Classe (Ciências Económico-Jurídicas)</t>
  </si>
  <si>
    <t>11ª Classe (Ciências Económico-Jurídicas)</t>
  </si>
  <si>
    <t>12ª Classe (Ciências Económico-Jurídicas)</t>
  </si>
  <si>
    <t>13ª Classe (Ciências Económico-Jurídicas)</t>
  </si>
  <si>
    <t>10ª Classe (Ciências Humanas)</t>
  </si>
  <si>
    <t>11ª Classe (Ciências Humanas)</t>
  </si>
  <si>
    <t>12ª Classe (Ciências Humanas)</t>
  </si>
  <si>
    <t>13ª Classe (Ciências Humanas)</t>
  </si>
  <si>
    <t>10ª Classe (Técnico de Informática)</t>
  </si>
  <si>
    <t>11ª Classe (Técnico de Informática)</t>
  </si>
  <si>
    <t>12ª Classe (Técnico de Informática)</t>
  </si>
  <si>
    <t>13ª Classe (Técnico de Informática)</t>
  </si>
  <si>
    <t>10ª Classe (Técnico de Saúde)</t>
  </si>
  <si>
    <t>11ª Classe (Técnico de Saúde)</t>
  </si>
  <si>
    <t>II CICLO DO ENSINO SECUNDÁRIO</t>
  </si>
  <si>
    <t>10ª À 13ª CLASSE</t>
  </si>
  <si>
    <t>TODOS OS SUBSISTEMAS</t>
  </si>
  <si>
    <t>PRÉ-ESCOLAR, PRIMÁRIO, I E II CICLOS</t>
  </si>
  <si>
    <t>SECÇÃO 5 - DADOS ESTATÍSTICOS SOBRE ALUNOS REPETENTES</t>
  </si>
  <si>
    <t>TABELA 5.1 – Alunos Repetentes na Classe de Iniciação (Pré-Escolar)</t>
  </si>
  <si>
    <t>TOTAL REPETENTES</t>
  </si>
  <si>
    <t>Iniciação</t>
  </si>
  <si>
    <t>TABELA 5.2 – Alunos Repetentes no Ensino Primário Regular</t>
  </si>
  <si>
    <t>TABELA 5.3 – Alunos Repetentes no PRAEER (Aceleração Escolar)</t>
  </si>
  <si>
    <t>ETAPA / MÓDULO</t>
  </si>
  <si>
    <t>TABELA 5.4 – Alunos Repetentes no Ensino Secundário do I Ciclo (Geral e Técnico)</t>
  </si>
  <si>
    <t>CLASSE / SUBSISTEMA</t>
  </si>
  <si>
    <t>7ª Classe (Geral)</t>
  </si>
  <si>
    <t>8ª Classe (Geral)</t>
  </si>
  <si>
    <t>9ª Classe (Geral)</t>
  </si>
  <si>
    <t>7ª Classe (Técnico)</t>
  </si>
  <si>
    <t>8ª Classe (Técnico)</t>
  </si>
  <si>
    <t>9ª Classe (Técnico)</t>
  </si>
  <si>
    <t>I CICLO</t>
  </si>
  <si>
    <t>TABELA 5.5 – Alunos Repetentes no Ensino Secundário do II Ciclo (Geral, Técnico e Formação)</t>
  </si>
  <si>
    <t>10ª Classe (Geral)</t>
  </si>
  <si>
    <t>11ª Classe (Geral)</t>
  </si>
  <si>
    <t>12ª Classe (Geral)</t>
  </si>
  <si>
    <t>10ª Classe (Técnico)</t>
  </si>
  <si>
    <t>11ª Classe (Técnico)</t>
  </si>
  <si>
    <t>12ª Classe (Técnico)</t>
  </si>
  <si>
    <t>13ª Classe (Técnico)</t>
  </si>
  <si>
    <t>10ª Classe (Magistério)</t>
  </si>
  <si>
    <t>11ª Classe (Magistério)</t>
  </si>
  <si>
    <t>12ª Classe (Magistério)</t>
  </si>
  <si>
    <t>13ª Classe (Magistério)</t>
  </si>
  <si>
    <t>II CICLO</t>
  </si>
  <si>
    <t>TOTAL DE ALUNOS REPETENTES - CONSOLIDADO</t>
  </si>
  <si>
    <t>TOTAL REPETENTES (MF)</t>
  </si>
  <si>
    <t>TOTAL REPETENTES (F)</t>
  </si>
  <si>
    <t>Total Repetentes</t>
  </si>
  <si>
    <t>TOTAL GERAL REPETENTES</t>
  </si>
  <si>
    <t>MUNICÍPIO</t>
  </si>
  <si>
    <t>SECÇÃO 6 - ALUNOS COM NECESSIDADES EDUCATIVAS ESPECIAIS (NEE)</t>
  </si>
  <si>
    <t>TABELA 6.1 – NEE na Classe de Iniciação</t>
  </si>
  <si>
    <t>NÍVEL / ETAPA</t>
  </si>
  <si>
    <t>TOTAL NEE</t>
  </si>
  <si>
    <t>Físico-Motora</t>
  </si>
  <si>
    <t>Espectro Autista</t>
  </si>
  <si>
    <t>Outras NEE</t>
  </si>
  <si>
    <t>TABELA 6.2 – NEE no Ensino Primário Regular</t>
  </si>
  <si>
    <t>TABELA 6.3 – NEE no PRAEER</t>
  </si>
  <si>
    <t>TABELA 6.4 – NEE na EJA - Ensino Primário</t>
  </si>
  <si>
    <t>TABELA 6.5 – NEE no I Ciclo Geral Regular</t>
  </si>
  <si>
    <t>I Ciclo Geral</t>
  </si>
  <si>
    <t>TABELA 6.6 – NEE no I Ciclo Técnico-Profissional</t>
  </si>
  <si>
    <t>I Ciclo Técnico</t>
  </si>
  <si>
    <t>TABELA 6.7 – NEE no I Ciclo EJA</t>
  </si>
  <si>
    <t>TABELA 6.8 – NEE no II Ciclo Geral</t>
  </si>
  <si>
    <t>II Ciclo Geral</t>
  </si>
  <si>
    <t>TABELA 6.9 – NEE no II Ciclo Técnico-Profissional</t>
  </si>
  <si>
    <t>II Ciclo Técnico</t>
  </si>
  <si>
    <t>TABELA 6.10 – NEE no II Ciclo Formação de Professores</t>
  </si>
  <si>
    <t>II Ciclo Magistério</t>
  </si>
  <si>
    <t>CONSOLIDADO GERAL DE ALUNOS COM NEE</t>
  </si>
  <si>
    <t>TOTAL NEE (MF)</t>
  </si>
  <si>
    <t>TOTAL NEE (F)</t>
  </si>
  <si>
    <t>TOTAL GERAL NEE</t>
  </si>
  <si>
    <t>SECÇÃO 7 - DADOS ESTATÍSTICOS SOBRE PESSOAL NÃO DOCENTE, ADMINISTRATIVO E AUXILIAR</t>
  </si>
  <si>
    <t>TABELA 7.1 – Pessoal nas Creches, Jardins de Infância e Centros Infantis</t>
  </si>
  <si>
    <t>ESTABELECIMENTO</t>
  </si>
  <si>
    <t>Educadores de Infância</t>
  </si>
  <si>
    <t>Auxiliares de Acção Educativa</t>
  </si>
  <si>
    <t>Secretárias</t>
  </si>
  <si>
    <t>Auxiliares de Limpeza</t>
  </si>
  <si>
    <t>Guardas</t>
  </si>
  <si>
    <t>Vigilantes de Saúde / Outros</t>
  </si>
  <si>
    <t>Centros Infantis e Jardins</t>
  </si>
  <si>
    <t>TABELA 7.2 – Pessoal Administrativo e Auxiliar por Tipo de Escola e Natureza</t>
  </si>
  <si>
    <t>TIPO DE ESCOLA</t>
  </si>
  <si>
    <t>TOTAL PESSOAL</t>
  </si>
  <si>
    <t>Docentes Administrativos</t>
  </si>
  <si>
    <t>Técnicos Administrativos / Secretárias</t>
  </si>
  <si>
    <t>Guardas / Segurança</t>
  </si>
  <si>
    <t>Pessoal de Limpeza</t>
  </si>
  <si>
    <t>Outros Auxiliares</t>
  </si>
  <si>
    <t>Escolas Primárias</t>
  </si>
  <si>
    <t>Colégios</t>
  </si>
  <si>
    <t>Escolas Técnicas</t>
  </si>
  <si>
    <t>Liceus</t>
  </si>
  <si>
    <t>Institutos Politécnicos</t>
  </si>
  <si>
    <t>Magistérios</t>
  </si>
  <si>
    <t>Complexos Escolares</t>
  </si>
  <si>
    <t>Escolas Específicas de Educação Especial</t>
  </si>
  <si>
    <t>ADMINISTRATIVO / AUXILIAR</t>
  </si>
  <si>
    <t>SECÇÃO 8 - RELAÇÃO DE ESCOLAS QUE NÃO ENVIARAM DADOS ESTATÍSTICOS AO SIGE</t>
  </si>
  <si>
    <t>NOME DA ESCOLA</t>
  </si>
  <si>
    <t>NÚMERO DA ESCOLA</t>
  </si>
  <si>
    <t>DESIGNAÇÃO DA ESCOLA</t>
  </si>
  <si>
    <t>OFERTA EDUCATIVA</t>
  </si>
  <si>
    <t>CONTACTOS DA ESCOLA</t>
  </si>
  <si>
    <t>FOI CONTABILIZADA NAS ESCOLAS EM FUNCIONAMENTO? (SIM/NÃO)</t>
  </si>
  <si>
    <t>FORNECEU DADOS DO INÍCIO DO ANO? (SIM/NÃO)</t>
  </si>
  <si>
    <t>FORNECEU APROVEITAMENTO? (SIM/NÃO)</t>
  </si>
  <si>
    <t>OBSERVAÇÃO</t>
  </si>
  <si>
    <t>SECÇÃO 9 - QUADRO RESUMO E INDICADORES CONSOLIDADOS DO MUNICÍPIO</t>
  </si>
  <si>
    <t>TABELA 1 – Total de Alunos Matriculados – Consolidado por Nível de Ensino</t>
  </si>
  <si>
    <t>Creches, Jardins e Iniciação</t>
  </si>
  <si>
    <t>Regular, PRAEER e EJA</t>
  </si>
  <si>
    <t>Geral, Técnico e EJA</t>
  </si>
  <si>
    <t>Geral, Técnico e Magistério</t>
  </si>
  <si>
    <t>TOTAL GERAL MATRICULADOS</t>
  </si>
  <si>
    <t>TABELA 2 – Total de Pessoal Docente em Exercício – Consolidado</t>
  </si>
  <si>
    <t>REGIME</t>
  </si>
  <si>
    <t>Docentes em Função</t>
  </si>
  <si>
    <t>TOTAL GERAL DOCENTES</t>
  </si>
  <si>
    <t>TABELA 3 &amp; 4 – Total de Escolas e Salas de Aula em Funcionamento – Consolidado</t>
  </si>
  <si>
    <t>INDICADOR</t>
  </si>
  <si>
    <t>FONTE / FOLHA</t>
  </si>
  <si>
    <t>QUANTIDADE TOTAL</t>
  </si>
  <si>
    <t>Total de Escolas em Funcionamento</t>
  </si>
  <si>
    <t>Infraestruturas</t>
  </si>
  <si>
    <t>Todos os subsistemas</t>
  </si>
  <si>
    <t>Salas de Aula Definitivas</t>
  </si>
  <si>
    <t>Construção convencional</t>
  </si>
  <si>
    <t>Salas de Aula Provisórias</t>
  </si>
  <si>
    <t>Contentores / Chapas</t>
  </si>
  <si>
    <t>Salas ao Ar Livre / Tendas</t>
  </si>
  <si>
    <t>Precárias</t>
  </si>
  <si>
    <t>Total de Salas de Aula Utilizadas</t>
  </si>
  <si>
    <t>Capacidade instalada</t>
  </si>
  <si>
    <t>TABELA 5 – Total de Alunos Repetentes – Consolidado</t>
  </si>
  <si>
    <t>REPETENTES (MF)</t>
  </si>
  <si>
    <t>REPETENTES (F)</t>
  </si>
  <si>
    <t>Regular</t>
  </si>
  <si>
    <t>TABELA 6 – Total de Alunos com Necessidades Educativas Especiais (NEE) – Consolidado</t>
  </si>
  <si>
    <t>NÍVEL / PROGRAMA</t>
  </si>
  <si>
    <t>Alunos Integrados com NEE</t>
  </si>
  <si>
    <t>I Ciclo do Ensino Secundário</t>
  </si>
  <si>
    <t>II Ciclo do Ensino Secundário</t>
  </si>
  <si>
    <t>CONSISTÊNCIA DE DADOS: MATRICULADOS = APROVADOS + REPROVADOS + DESISTIDOS</t>
  </si>
  <si>
    <t>TABELA 7 – Aproveitamento Escolar – Síntese Consolidada e Validação de Consistência</t>
  </si>
  <si>
    <t>SUBSISTEMA / ETAPA</t>
  </si>
  <si>
    <t>MATRICULADOS</t>
  </si>
  <si>
    <t>APROVADOS</t>
  </si>
  <si>
    <t>REPROVADOS</t>
  </si>
  <si>
    <t>DESISTIDOS</t>
  </si>
  <si>
    <t>VALIDAÇÃO</t>
  </si>
  <si>
    <t>RESIDUAL (MF)</t>
  </si>
  <si>
    <t>SECÇÃO 10 - BASE DE DADOS GERAL DE ESCOLAS DO MUNICÍPIO (REGISTO ESCOLA-A-ESCOLA)</t>
  </si>
  <si>
    <t>CÓDIGO SIGE</t>
  </si>
  <si>
    <t>PROVÍNCIA</t>
  </si>
  <si>
    <t>COMUNA / DISTRITO</t>
  </si>
  <si>
    <t>NÍVEL MINISTRADO</t>
  </si>
  <si>
    <t>REGIME (TURNOS)</t>
  </si>
  <si>
    <t>TOTAL TURMAS</t>
  </si>
  <si>
    <t>ALUNOS MAT. (MF)</t>
  </si>
  <si>
    <t>ALUNOS MAT. (F)</t>
  </si>
  <si>
    <t>ALUNOS APROV. (MF)</t>
  </si>
  <si>
    <t>ALUNOS APROV. (F)</t>
  </si>
  <si>
    <t>ALUNOS REPROV. (MF)</t>
  </si>
  <si>
    <t>ALUNOS REPROV. (F)</t>
  </si>
  <si>
    <t>ALUNOS DESIST. (MF)</t>
  </si>
  <si>
    <t>ALUNOS DESIST. (F)</t>
  </si>
  <si>
    <t>PROFESSORES (MF)</t>
  </si>
  <si>
    <t>PROFESSORES (F)</t>
  </si>
  <si>
    <t>NÃO DOCENTE (MF)</t>
  </si>
  <si>
    <t>NÃO DOCENTE (F)</t>
  </si>
  <si>
    <t>ÁGUA POTÁVEL</t>
  </si>
  <si>
    <t>ELETRICIDADE</t>
  </si>
  <si>
    <t>INTERNET</t>
  </si>
  <si>
    <t>CONTACTO TELEFÓNICO</t>
  </si>
  <si>
    <t>EMAIL / OBSERVAÇÕES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</si>
</sst>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0" x14ac:knownFonts="1">
    <font>
      <color theme="1"/>
      <family val="2"/>
      <scheme val="minor"/>
      <sz val="11"/>
      <name val="Calibri"/>
    </font>
    <font>
      <b/>
      <color rgb="000000"/>
      <sz val="14"/>
      <name val="Arial"/>
    </font>
    <font>
      <b/>
      <color rgb="000000"/>
      <sz val="12"/>
      <name val="Arial"/>
    </font>
    <font>
      <b/>
      <color rgb="1F4E79"/>
      <sz val="11"/>
      <name val="Arial"/>
    </font>
    <font>
      <b/>
      <color rgb="595959"/>
      <sz val="10"/>
      <name val="Arial"/>
    </font>
    <font>
      <b/>
      <color rgb="FFFFFF"/>
      <sz val="18"/>
      <name val="Arial"/>
    </font>
    <font>
      <b/>
      <sz val="11"/>
      <name val="Arial"/>
    </font>
    <font>
      <b/>
      <color rgb="FFFFFF"/>
      <sz val="11"/>
      <name val="Arial"/>
    </font>
    <font>
      <color rgb="000000"/>
      <sz val="10"/>
      <name val="Arial"/>
    </font>
    <font>
      <color rgb="1F4E79"/>
      <sz val="10"/>
      <name val="Arial"/>
    </font>
    <font>
      <b/>
      <color rgb="1F4E79"/>
      <sz val="10"/>
      <name val="Arial"/>
    </font>
    <font>
      <b/>
      <color rgb="000000"/>
      <sz val="10"/>
      <name val="Arial"/>
    </font>
    <font>
      <sz val="10"/>
      <name val="Arial"/>
    </font>
    <font>
      <b/>
      <color rgb="1F4E79"/>
      <sz val="14"/>
      <name val="Arial"/>
    </font>
    <font>
      <b/>
      <color rgb="FFFFFF"/>
      <sz val="10"/>
      <name val="Arial"/>
    </font>
    <font>
      <b/>
      <i/>
      <color rgb="C00000"/>
      <sz val="9"/>
      <name val="Arial"/>
    </font>
    <font>
      <b/>
      <color rgb="FFFFFF"/>
      <sz val="12"/>
      <name val="Arial"/>
    </font>
    <font>
      <b/>
      <sz val="9"/>
      <name val="Arial"/>
    </font>
    <font>
      <sz val="9"/>
      <name val="Arial"/>
    </font>
    <font>
      <i/>
      <color rgb="595959"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2CC"/>
      </patternFill>
    </fill>
    <fill>
      <patternFill patternType="solid">
        <fgColor rgb="D9D9D9"/>
      </patternFill>
    </fill>
  </fills>
  <borders count="4">
    <border>
      <left/>
      <right/>
      <top/>
      <bottom/>
      <diagonal/>
    </border>
    <border>
      <left style="medium">
        <color rgb="1F4E79"/>
      </left>
      <right style="medium">
        <color rgb="1F4E79"/>
      </right>
      <top style="medium">
        <color rgb="1F4E79"/>
      </top>
      <bottom style="medium">
        <color rgb="1F4E79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medium">
        <color rgb="1F4E79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left" vertical="center"/>
    </xf>
    <xf numFmtId="0" fontId="9" fillId="5" borderId="3" xfId="0" applyFont="1" applyFill="1" applyBorder="1" applyAlignment="1">
      <alignment horizontal="left" vertical="top" wrapText="1"/>
    </xf>
    <xf numFmtId="0" fontId="10" fillId="6" borderId="3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0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2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2" fillId="0" borderId="0" xfId="0" applyFont="1"/>
    <xf numFmtId="0" fontId="10" fillId="0" borderId="0" xfId="0" applyFont="1"/>
    <xf numFmtId="0" fontId="14" fillId="2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/>
    </xf>
    <xf numFmtId="3" fontId="11" fillId="5" borderId="3" xfId="0" applyNumberFormat="1" applyFont="1" applyFill="1" applyBorder="1" applyAlignment="1">
      <alignment horizontal="center" vertical="center"/>
    </xf>
    <xf numFmtId="3" fontId="8" fillId="0" borderId="3" xfId="0" applyNumberFormat="1" applyFont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3" fontId="11" fillId="6" borderId="3" xfId="0" applyNumberFormat="1" applyFont="1" applyFill="1" applyBorder="1" applyAlignment="1">
      <alignment horizontal="center" vertical="center"/>
    </xf>
    <xf numFmtId="0" fontId="15" fillId="0" borderId="0" xfId="0" applyFont="1"/>
    <xf numFmtId="0" fontId="16" fillId="2" borderId="0" xfId="0" applyFont="1" applyFill="1" applyAlignment="1">
      <alignment horizontal="center" vertical="center"/>
    </xf>
    <xf numFmtId="0" fontId="3" fillId="0" borderId="0" xfId="0" applyFont="1"/>
    <xf numFmtId="0" fontId="17" fillId="0" borderId="3" xfId="0" applyFont="1" applyBorder="1" applyAlignment="1">
      <alignment horizontal="center" vertical="center"/>
    </xf>
    <xf numFmtId="3" fontId="17" fillId="0" borderId="3" xfId="0" applyNumberFormat="1" applyFont="1" applyBorder="1" applyAlignment="1">
      <alignment horizontal="center" vertical="center"/>
    </xf>
    <xf numFmtId="164" fontId="18" fillId="0" borderId="3" xfId="0" applyNumberFormat="1" applyFont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3" fontId="17" fillId="6" borderId="3" xfId="0" applyNumberFormat="1" applyFont="1" applyFill="1" applyBorder="1" applyAlignment="1">
      <alignment horizontal="center" vertical="center"/>
    </xf>
    <xf numFmtId="164" fontId="17" fillId="6" borderId="3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horizontal="center" vertical="center"/>
    </xf>
    <xf numFmtId="0" fontId="19" fillId="0" borderId="0" xfId="0" applyFont="1"/>
    <xf numFmtId="0" fontId="11" fillId="0" borderId="3" xfId="0" applyFont="1" applyBorder="1" applyAlignment="1">
      <alignment horizontal="left" vertical="center"/>
    </xf>
    <xf numFmtId="3" fontId="12" fillId="0" borderId="3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I33"/>
  <sheetViews>
    <sheetView workbookViewId="0"/>
  </sheetViews>
  <sheetFormatPr defaultRowHeight="15" outlineLevelRow="0" outlineLevelCol="0" x14ac:dyDescent="55"/>
  <cols>
    <col min="1" max="1" width="22" customWidth="1"/>
    <col min="2" max="9" width="18" customWidth="1"/>
  </cols>
  <sheetData>
    <row r="4" spans="1:9" x14ac:dyDescent="0.25">
      <c r="A4" s="1" t="s">
        <v>0</v>
      </c>
      <c r="B4" s="1"/>
      <c r="C4" s="1"/>
      <c r="D4" s="1"/>
      <c r="E4" s="1"/>
      <c r="F4" s="1"/>
      <c r="G4" s="1"/>
      <c r="H4" s="1"/>
      <c r="I4" s="1"/>
    </row>
    <row r="5" spans="1:9" x14ac:dyDescent="0.25">
      <c r="A5" s="2" t="s">
        <v>1</v>
      </c>
      <c r="B5" s="2"/>
      <c r="C5" s="2"/>
      <c r="D5" s="2"/>
      <c r="E5" s="2"/>
      <c r="F5" s="2"/>
      <c r="G5" s="2"/>
      <c r="H5" s="2"/>
      <c r="I5" s="2"/>
    </row>
    <row r="6" spans="1:9" x14ac:dyDescent="0.25">
      <c r="A6" s="3" t="s">
        <v>2</v>
      </c>
      <c r="B6" s="3"/>
      <c r="C6" s="3"/>
      <c r="D6" s="3"/>
      <c r="E6" s="3"/>
      <c r="F6" s="3"/>
      <c r="G6" s="3"/>
      <c r="H6" s="3"/>
      <c r="I6" s="3"/>
    </row>
    <row r="7" spans="1:9" x14ac:dyDescent="0.25">
      <c r="A7" s="4" t="s">
        <v>3</v>
      </c>
      <c r="B7" s="4"/>
      <c r="C7" s="4"/>
      <c r="D7" s="4"/>
      <c r="E7" s="4"/>
      <c r="F7" s="4"/>
      <c r="G7" s="4"/>
      <c r="H7" s="4"/>
      <c r="I7" s="4"/>
    </row>
    <row r="10" spans="1:9" x14ac:dyDescent="0.25">
      <c r="A10" s="5" t="s">
        <v>4</v>
      </c>
      <c r="B10" s="5"/>
      <c r="C10" s="5"/>
      <c r="D10" s="5"/>
      <c r="E10" s="5"/>
      <c r="F10" s="5"/>
      <c r="G10" s="5"/>
      <c r="H10" s="5"/>
      <c r="I10" s="5"/>
    </row>
    <row r="11" spans="1:9" x14ac:dyDescent="0.25">
      <c r="A11" s="5"/>
      <c r="B11" s="5"/>
      <c r="C11" s="5"/>
      <c r="D11" s="5"/>
      <c r="E11" s="5"/>
      <c r="F11" s="5"/>
      <c r="G11" s="5"/>
      <c r="H11" s="5"/>
      <c r="I11" s="5"/>
    </row>
    <row r="12" spans="1:9" x14ac:dyDescent="0.25">
      <c r="A12" s="5"/>
      <c r="B12" s="5"/>
      <c r="C12" s="5"/>
      <c r="D12" s="5"/>
      <c r="E12" s="5"/>
      <c r="F12" s="5"/>
      <c r="G12" s="5"/>
      <c r="H12" s="5"/>
      <c r="I12" s="5"/>
    </row>
    <row r="15" spans="1:9" x14ac:dyDescent="0.25">
      <c r="A15" s="6" t="s">
        <v>5</v>
      </c>
      <c r="B15" s="7" t="s">
        <v>6</v>
      </c>
      <c r="C15" s="7"/>
      <c r="D15" s="7"/>
      <c r="E15" s="7"/>
      <c r="F15" s="7"/>
      <c r="G15" s="7"/>
      <c r="H15" s="7"/>
      <c r="I15" s="7"/>
    </row>
    <row r="16" spans="1:9" x14ac:dyDescent="0.25">
      <c r="A16" s="6" t="s">
        <v>7</v>
      </c>
      <c r="B16" s="7" t="s">
        <v>6</v>
      </c>
      <c r="C16" s="7"/>
      <c r="D16" s="7"/>
      <c r="E16" s="7"/>
      <c r="F16" s="7"/>
      <c r="G16" s="7"/>
      <c r="H16" s="7"/>
      <c r="I16" s="7"/>
    </row>
    <row r="23" spans="1:9" x14ac:dyDescent="0.25">
      <c r="A23" s="8" t="s">
        <v>8</v>
      </c>
      <c r="B23" s="8"/>
      <c r="C23" s="8"/>
      <c r="D23" s="8"/>
      <c r="E23" s="8"/>
      <c r="F23" s="8"/>
      <c r="G23" s="8"/>
      <c r="H23" s="8"/>
      <c r="I23" s="8"/>
    </row>
    <row r="24" spans="2:9" x14ac:dyDescent="0.25">
      <c r="B24" s="9" t="s">
        <v>9</v>
      </c>
      <c r="C24" s="9"/>
      <c r="E24" s="10" t="s">
        <v>10</v>
      </c>
      <c r="F24" s="10"/>
      <c r="G24" s="10"/>
      <c r="H24" s="10"/>
      <c r="I24" s="10"/>
    </row>
    <row r="25" spans="2:9" x14ac:dyDescent="0.25">
      <c r="B25" s="9" t="s">
        <v>11</v>
      </c>
      <c r="C25" s="9"/>
      <c r="E25" s="10"/>
      <c r="F25" s="10"/>
      <c r="G25" s="10"/>
      <c r="H25" s="10"/>
      <c r="I25" s="10"/>
    </row>
    <row r="26" spans="2:9" x14ac:dyDescent="0.25">
      <c r="B26" s="9" t="s">
        <v>12</v>
      </c>
      <c r="C26" s="9"/>
      <c r="E26" s="10"/>
      <c r="F26" s="10"/>
      <c r="G26" s="10"/>
      <c r="H26" s="10"/>
      <c r="I26" s="10"/>
    </row>
    <row r="27" spans="2:9" x14ac:dyDescent="0.25">
      <c r="B27" s="9" t="s">
        <v>13</v>
      </c>
      <c r="C27" s="9"/>
      <c r="E27" s="10"/>
      <c r="F27" s="10"/>
      <c r="G27" s="10"/>
      <c r="H27" s="10"/>
      <c r="I27" s="10"/>
    </row>
    <row r="28" spans="2:9" x14ac:dyDescent="0.25">
      <c r="B28" s="9" t="s">
        <v>14</v>
      </c>
      <c r="C28" s="9"/>
      <c r="E28" s="10"/>
      <c r="F28" s="10"/>
      <c r="G28" s="10"/>
      <c r="H28" s="10"/>
      <c r="I28" s="10"/>
    </row>
    <row r="29" spans="2:9" x14ac:dyDescent="0.25">
      <c r="B29" s="9" t="s">
        <v>15</v>
      </c>
      <c r="C29" s="9"/>
      <c r="E29" s="10"/>
      <c r="F29" s="10"/>
      <c r="G29" s="10"/>
      <c r="H29" s="10"/>
      <c r="I29" s="10"/>
    </row>
    <row r="30" spans="2:9" x14ac:dyDescent="0.25">
      <c r="B30" s="9" t="s">
        <v>16</v>
      </c>
      <c r="C30" s="9"/>
      <c r="E30" s="10"/>
      <c r="F30" s="10"/>
      <c r="G30" s="10"/>
      <c r="H30" s="10"/>
      <c r="I30" s="10"/>
    </row>
    <row r="31" spans="2:9" x14ac:dyDescent="0.25">
      <c r="B31" s="11" t="s">
        <v>17</v>
      </c>
      <c r="C31" s="11"/>
      <c r="E31" s="10"/>
      <c r="F31" s="10"/>
      <c r="G31" s="10"/>
      <c r="H31" s="10"/>
      <c r="I31" s="10"/>
    </row>
    <row r="33" spans="1:9" x14ac:dyDescent="0.25">
      <c r="A33" s="12" t="s">
        <v>18</v>
      </c>
      <c r="B33" s="12"/>
      <c r="C33" s="13" t="s">
        <v>19</v>
      </c>
      <c r="D33" s="13"/>
      <c r="F33" s="14" t="s">
        <v>20</v>
      </c>
      <c r="G33" s="14"/>
      <c r="H33" s="15" t="s">
        <v>6</v>
      </c>
      <c r="I33" s="15"/>
    </row>
  </sheetData>
  <mergeCells count="21">
    <mergeCell ref="A4:I4"/>
    <mergeCell ref="A5:I5"/>
    <mergeCell ref="A6:I6"/>
    <mergeCell ref="A7:I7"/>
    <mergeCell ref="A10:I12"/>
    <mergeCell ref="B15:I15"/>
    <mergeCell ref="B16:I16"/>
    <mergeCell ref="A23:I23"/>
    <mergeCell ref="B24:C24"/>
    <mergeCell ref="E24:I31"/>
    <mergeCell ref="B25:C25"/>
    <mergeCell ref="B26:C26"/>
    <mergeCell ref="B27:C27"/>
    <mergeCell ref="B28:C28"/>
    <mergeCell ref="B29:C29"/>
    <mergeCell ref="B30:C30"/>
    <mergeCell ref="B31:C31"/>
    <mergeCell ref="A33:B33"/>
    <mergeCell ref="C33:D33"/>
    <mergeCell ref="F33:G33"/>
    <mergeCell ref="H33:I3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Y347"/>
  <sheetViews>
    <sheetView workbookViewId="0">
      <pane xSplit="2" ySplit="9" topLeftCell="C10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2" width="22" customWidth="1"/>
    <col min="3" max="4" width="14" customWidth="1"/>
    <col min="5" max="25" width="11" customWidth="1"/>
    <col min="26" max="26" width="24" customWidth="1"/>
  </cols>
  <sheetData>
    <row r="2" spans="1:16" x14ac:dyDescent="0.25">
      <c r="A2" s="16" t="s">
        <v>21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5" spans="1:1" x14ac:dyDescent="0.25">
      <c r="A5" s="17" t="s">
        <v>22</v>
      </c>
    </row>
    <row r="6" spans="1:1" x14ac:dyDescent="0.25">
      <c r="A6" s="18" t="s">
        <v>23</v>
      </c>
    </row>
    <row r="8" spans="1:18" x14ac:dyDescent="0.25">
      <c r="A8" s="19" t="s">
        <v>24</v>
      </c>
      <c r="B8" s="19" t="s">
        <v>25</v>
      </c>
      <c r="C8" s="19" t="s">
        <v>17</v>
      </c>
      <c r="D8" s="19"/>
      <c r="E8" s="19" t="s">
        <v>26</v>
      </c>
      <c r="F8" s="19"/>
      <c r="G8" s="19" t="s">
        <v>27</v>
      </c>
      <c r="H8" s="19"/>
      <c r="I8" s="19" t="s">
        <v>28</v>
      </c>
      <c r="J8" s="19"/>
      <c r="K8" s="19" t="s">
        <v>29</v>
      </c>
      <c r="L8" s="19"/>
      <c r="M8" s="19" t="s">
        <v>30</v>
      </c>
      <c r="N8" s="19"/>
      <c r="O8" s="19" t="s">
        <v>31</v>
      </c>
      <c r="P8" s="19"/>
      <c r="R8" s="19" t="s">
        <v>32</v>
      </c>
    </row>
    <row r="9" spans="1:18" x14ac:dyDescent="0.25">
      <c r="A9" s="19"/>
      <c r="B9" s="19"/>
      <c r="C9" s="19" t="s">
        <v>33</v>
      </c>
      <c r="D9" s="19" t="s">
        <v>34</v>
      </c>
      <c r="E9" s="19" t="s">
        <v>35</v>
      </c>
      <c r="F9" s="19" t="s">
        <v>36</v>
      </c>
      <c r="G9" s="19" t="s">
        <v>35</v>
      </c>
      <c r="H9" s="19" t="s">
        <v>36</v>
      </c>
      <c r="I9" s="19" t="s">
        <v>35</v>
      </c>
      <c r="J9" s="19" t="s">
        <v>36</v>
      </c>
      <c r="K9" s="19" t="s">
        <v>35</v>
      </c>
      <c r="L9" s="19" t="s">
        <v>36</v>
      </c>
      <c r="M9" s="19" t="s">
        <v>35</v>
      </c>
      <c r="N9" s="19" t="s">
        <v>36</v>
      </c>
      <c r="O9" s="19" t="s">
        <v>35</v>
      </c>
      <c r="P9" s="19" t="s">
        <v>36</v>
      </c>
      <c r="R9" s="19"/>
    </row>
    <row r="10" spans="1:18" x14ac:dyDescent="0.25">
      <c r="A10" s="20" t="s">
        <v>37</v>
      </c>
      <c r="B10" s="20" t="s">
        <v>38</v>
      </c>
      <c r="C10" s="21">
        <f>SUM(E10,G10,I10,K10,M10,O10)</f>
      </c>
      <c r="D10" s="21">
        <f>SUM(F10,H10,J10,L10,N10,P10)</f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R10" s="20" t="s">
        <v>6</v>
      </c>
    </row>
    <row r="11" spans="1:18" x14ac:dyDescent="0.25">
      <c r="A11" s="20"/>
      <c r="B11" s="20" t="s">
        <v>39</v>
      </c>
      <c r="C11" s="21">
        <f>SUM(E11,G11,I11,K11,M11,O11)</f>
      </c>
      <c r="D11" s="21">
        <f>SUM(F11,H11,J11,L11,N11,P11)</f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R11" s="20" t="s">
        <v>6</v>
      </c>
    </row>
    <row r="12" spans="1:18" x14ac:dyDescent="0.25">
      <c r="A12" s="20"/>
      <c r="B12" s="20" t="s">
        <v>40</v>
      </c>
      <c r="C12" s="21">
        <f>SUM(E12,G12,I12,K12,M12,O12)</f>
      </c>
      <c r="D12" s="21">
        <f>SUM(F12,H12,J12,L12,N12,P12)</f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R12" s="20" t="s">
        <v>6</v>
      </c>
    </row>
    <row r="13" spans="1:18" x14ac:dyDescent="0.25">
      <c r="A13" s="20" t="s">
        <v>41</v>
      </c>
      <c r="B13" s="20" t="s">
        <v>38</v>
      </c>
      <c r="C13" s="21">
        <f>SUM(E13,G13,I13,K13,M13,O13)</f>
      </c>
      <c r="D13" s="21">
        <f>SUM(F13,H13,J13,L13,N13,P13)</f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R13" s="20" t="s">
        <v>6</v>
      </c>
    </row>
    <row r="14" spans="1:18" x14ac:dyDescent="0.25">
      <c r="A14" s="20"/>
      <c r="B14" s="20" t="s">
        <v>39</v>
      </c>
      <c r="C14" s="21">
        <f>SUM(E14,G14,I14,K14,M14,O14)</f>
      </c>
      <c r="D14" s="21">
        <f>SUM(F14,H14,J14,L14,N14,P14)</f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R14" s="20" t="s">
        <v>6</v>
      </c>
    </row>
    <row r="15" spans="1:18" x14ac:dyDescent="0.25">
      <c r="A15" s="20"/>
      <c r="B15" s="20" t="s">
        <v>40</v>
      </c>
      <c r="C15" s="21">
        <f>SUM(E15,G15,I15,K15,M15,O15)</f>
      </c>
      <c r="D15" s="21">
        <f>SUM(F15,H15,J15,L15,N15,P15)</f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R15" s="20" t="s">
        <v>6</v>
      </c>
    </row>
    <row r="16" spans="1:18" x14ac:dyDescent="0.25">
      <c r="A16" s="20" t="s">
        <v>42</v>
      </c>
      <c r="B16" s="20" t="s">
        <v>38</v>
      </c>
      <c r="C16" s="21">
        <f>SUM(E16,G16,I16,K16,M16,O16)</f>
      </c>
      <c r="D16" s="21">
        <f>SUM(F16,H16,J16,L16,N16,P16)</f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R16" s="20" t="s">
        <v>6</v>
      </c>
    </row>
    <row r="17" spans="1:18" x14ac:dyDescent="0.25">
      <c r="A17" s="20"/>
      <c r="B17" s="20" t="s">
        <v>39</v>
      </c>
      <c r="C17" s="21">
        <f>SUM(E17,G17,I17,K17,M17,O17)</f>
      </c>
      <c r="D17" s="21">
        <f>SUM(F17,H17,J17,L17,N17,P17)</f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R17" s="20" t="s">
        <v>6</v>
      </c>
    </row>
    <row r="18" spans="1:18" x14ac:dyDescent="0.25">
      <c r="A18" s="20"/>
      <c r="B18" s="20" t="s">
        <v>40</v>
      </c>
      <c r="C18" s="21">
        <f>SUM(E18,G18,I18,K18,M18,O18)</f>
      </c>
      <c r="D18" s="21">
        <f>SUM(F18,H18,J18,L18,N18,P18)</f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R18" s="20" t="s">
        <v>6</v>
      </c>
    </row>
    <row r="19" spans="1:18" x14ac:dyDescent="0.25">
      <c r="A19" s="20" t="s">
        <v>43</v>
      </c>
      <c r="B19" s="20" t="s">
        <v>38</v>
      </c>
      <c r="C19" s="21">
        <f>SUM(E19,G19,I19,K19,M19,O19)</f>
      </c>
      <c r="D19" s="21">
        <f>SUM(F19,H19,J19,L19,N19,P19)</f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R19" s="20" t="s">
        <v>6</v>
      </c>
    </row>
    <row r="20" spans="1:18" x14ac:dyDescent="0.25">
      <c r="A20" s="20"/>
      <c r="B20" s="20" t="s">
        <v>39</v>
      </c>
      <c r="C20" s="21">
        <f>SUM(E20,G20,I20,K20,M20,O20)</f>
      </c>
      <c r="D20" s="21">
        <f>SUM(F20,H20,J20,L20,N20,P20)</f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R20" s="20" t="s">
        <v>6</v>
      </c>
    </row>
    <row r="21" spans="1:18" x14ac:dyDescent="0.25">
      <c r="A21" s="20"/>
      <c r="B21" s="20" t="s">
        <v>40</v>
      </c>
      <c r="C21" s="21">
        <f>SUM(E21,G21,I21,K21,M21,O21)</f>
      </c>
      <c r="D21" s="21">
        <f>SUM(F21,H21,J21,L21,N21,P21)</f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R21" s="20" t="s">
        <v>6</v>
      </c>
    </row>
    <row r="22" spans="1:18" x14ac:dyDescent="0.25">
      <c r="A22" s="20" t="s">
        <v>44</v>
      </c>
      <c r="B22" s="20" t="s">
        <v>38</v>
      </c>
      <c r="C22" s="21">
        <f>SUM(E22,G22,I22,K22,M22,O22)</f>
      </c>
      <c r="D22" s="21">
        <f>SUM(F22,H22,J22,L22,N22,P22)</f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R22" s="20" t="s">
        <v>6</v>
      </c>
    </row>
    <row r="23" spans="1:18" x14ac:dyDescent="0.25">
      <c r="A23" s="20"/>
      <c r="B23" s="20" t="s">
        <v>39</v>
      </c>
      <c r="C23" s="21">
        <f>SUM(E23,G23,I23,K23,M23,O23)</f>
      </c>
      <c r="D23" s="21">
        <f>SUM(F23,H23,J23,L23,N23,P23)</f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R23" s="20" t="s">
        <v>6</v>
      </c>
    </row>
    <row r="24" spans="1:18" x14ac:dyDescent="0.25">
      <c r="A24" s="20"/>
      <c r="B24" s="20" t="s">
        <v>40</v>
      </c>
      <c r="C24" s="21">
        <f>SUM(E24,G24,I24,K24,M24,O24)</f>
      </c>
      <c r="D24" s="21">
        <f>SUM(F24,H24,J24,L24,N24,P24)</f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R24" s="20" t="s">
        <v>6</v>
      </c>
    </row>
    <row r="25" spans="1:18" x14ac:dyDescent="0.25">
      <c r="A25" s="20" t="s">
        <v>45</v>
      </c>
      <c r="B25" s="20" t="s">
        <v>38</v>
      </c>
      <c r="C25" s="21">
        <f>SUM(E25,G25,I25,K25,M25,O25)</f>
      </c>
      <c r="D25" s="21">
        <f>SUM(F25,H25,J25,L25,N25,P25)</f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R25" s="20" t="s">
        <v>6</v>
      </c>
    </row>
    <row r="26" spans="1:18" x14ac:dyDescent="0.25">
      <c r="A26" s="20"/>
      <c r="B26" s="20" t="s">
        <v>39</v>
      </c>
      <c r="C26" s="21">
        <f>SUM(E26,G26,I26,K26,M26,O26)</f>
      </c>
      <c r="D26" s="21">
        <f>SUM(F26,H26,J26,L26,N26,P26)</f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R26" s="20" t="s">
        <v>6</v>
      </c>
    </row>
    <row r="27" spans="1:18" x14ac:dyDescent="0.25">
      <c r="A27" s="20"/>
      <c r="B27" s="20" t="s">
        <v>40</v>
      </c>
      <c r="C27" s="21">
        <f>SUM(E27,G27,I27,K27,M27,O27)</f>
      </c>
      <c r="D27" s="21">
        <f>SUM(F27,H27,J27,L27,N27,P27)</f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R27" s="20" t="s">
        <v>6</v>
      </c>
    </row>
    <row r="28" spans="1:16" x14ac:dyDescent="0.25">
      <c r="A28" s="23" t="s">
        <v>17</v>
      </c>
      <c r="B28" s="23" t="s">
        <v>38</v>
      </c>
      <c r="C28" s="24">
        <f>SUM(C10,C13,C16,C19,C22,C25)</f>
      </c>
      <c r="D28" s="24">
        <f>SUM(D10,D13,D16,D19,D22,D25)</f>
      </c>
      <c r="E28" s="24">
        <f>SUM(E10,E13,E16,E19,E22,E25)</f>
      </c>
      <c r="F28" s="24">
        <f>SUM(F10,F13,F16,F19,F22,F25)</f>
      </c>
      <c r="G28" s="24">
        <f>SUM(G10,G13,G16,G19,G22,G25)</f>
      </c>
      <c r="H28" s="24">
        <f>SUM(H10,H13,H16,H19,H22,H25)</f>
      </c>
      <c r="I28" s="24">
        <f>SUM(I10,I13,I16,I19,I22,I25)</f>
      </c>
      <c r="J28" s="24">
        <f>SUM(J10,J13,J16,J19,J22,J25)</f>
      </c>
      <c r="K28" s="24">
        <f>SUM(K10,K13,K16,K19,K22,K25)</f>
      </c>
      <c r="L28" s="24">
        <f>SUM(L10,L13,L16,L19,L22,L25)</f>
      </c>
      <c r="M28" s="24">
        <f>SUM(M10,M13,M16,M19,M22,M25)</f>
      </c>
      <c r="N28" s="24">
        <f>SUM(N10,N13,N16,N19,N22,N25)</f>
      </c>
      <c r="O28" s="24">
        <f>SUM(O10,O13,O16,O19,O22,O25)</f>
      </c>
      <c r="P28" s="24">
        <f>SUM(P10,P13,P16,P19,P22,P25)</f>
      </c>
    </row>
    <row r="29" spans="1:16" x14ac:dyDescent="0.25">
      <c r="A29" s="23" t="s">
        <v>17</v>
      </c>
      <c r="B29" s="23" t="s">
        <v>39</v>
      </c>
      <c r="C29" s="24">
        <f>SUM(C11,C14,C17,C20,C23,C26)</f>
      </c>
      <c r="D29" s="24">
        <f>SUM(D11,D14,D17,D20,D23,D26)</f>
      </c>
      <c r="E29" s="24">
        <f>SUM(E11,E14,E17,E20,E23,E26)</f>
      </c>
      <c r="F29" s="24">
        <f>SUM(F11,F14,F17,F20,F23,F26)</f>
      </c>
      <c r="G29" s="24">
        <f>SUM(G11,G14,G17,G20,G23,G26)</f>
      </c>
      <c r="H29" s="24">
        <f>SUM(H11,H14,H17,H20,H23,H26)</f>
      </c>
      <c r="I29" s="24">
        <f>SUM(I11,I14,I17,I20,I23,I26)</f>
      </c>
      <c r="J29" s="24">
        <f>SUM(J11,J14,J17,J20,J23,J26)</f>
      </c>
      <c r="K29" s="24">
        <f>SUM(K11,K14,K17,K20,K23,K26)</f>
      </c>
      <c r="L29" s="24">
        <f>SUM(L11,L14,L17,L20,L23,L26)</f>
      </c>
      <c r="M29" s="24">
        <f>SUM(M11,M14,M17,M20,M23,M26)</f>
      </c>
      <c r="N29" s="24">
        <f>SUM(N11,N14,N17,N20,N23,N26)</f>
      </c>
      <c r="O29" s="24">
        <f>SUM(O11,O14,O17,O20,O23,O26)</f>
      </c>
      <c r="P29" s="24">
        <f>SUM(P11,P14,P17,P20,P23,P26)</f>
      </c>
    </row>
    <row r="30" spans="1:16" x14ac:dyDescent="0.25">
      <c r="A30" s="23" t="s">
        <v>17</v>
      </c>
      <c r="B30" s="23" t="s">
        <v>40</v>
      </c>
      <c r="C30" s="24">
        <f>SUM(C12,C15,C18,C21,C24,C27)</f>
      </c>
      <c r="D30" s="24">
        <f>SUM(D12,D15,D18,D21,D24,D27)</f>
      </c>
      <c r="E30" s="24">
        <f>SUM(E12,E15,E18,E21,E24,E27)</f>
      </c>
      <c r="F30" s="24">
        <f>SUM(F12,F15,F18,F21,F24,F27)</f>
      </c>
      <c r="G30" s="24">
        <f>SUM(G12,G15,G18,G21,G24,G27)</f>
      </c>
      <c r="H30" s="24">
        <f>SUM(H12,H15,H18,H21,H24,H27)</f>
      </c>
      <c r="I30" s="24">
        <f>SUM(I12,I15,I18,I21,I24,I27)</f>
      </c>
      <c r="J30" s="24">
        <f>SUM(J12,J15,J18,J21,J24,J27)</f>
      </c>
      <c r="K30" s="24">
        <f>SUM(K12,K15,K18,K21,K24,K27)</f>
      </c>
      <c r="L30" s="24">
        <f>SUM(L12,L15,L18,L21,L24,L27)</f>
      </c>
      <c r="M30" s="24">
        <f>SUM(M12,M15,M18,M21,M24,M27)</f>
      </c>
      <c r="N30" s="24">
        <f>SUM(N12,N15,N18,N21,N24,N27)</f>
      </c>
      <c r="O30" s="24">
        <f>SUM(O12,O15,O18,O21,O24,O27)</f>
      </c>
      <c r="P30" s="24">
        <f>SUM(P12,P15,P18,P21,P24,P27)</f>
      </c>
    </row>
    <row r="31" spans="1:16" x14ac:dyDescent="0.25">
      <c r="A31" s="23" t="s">
        <v>46</v>
      </c>
      <c r="B31" s="23" t="s">
        <v>47</v>
      </c>
      <c r="C31" s="24">
        <f>SUM(C28:C30)</f>
      </c>
      <c r="D31" s="24">
        <f>SUM(D28:D30)</f>
      </c>
      <c r="E31" s="24">
        <f>SUM(E28:E30)</f>
      </c>
      <c r="F31" s="24">
        <f>SUM(F28:F30)</f>
      </c>
      <c r="G31" s="24">
        <f>SUM(G28:G30)</f>
      </c>
      <c r="H31" s="24">
        <f>SUM(H28:H30)</f>
      </c>
      <c r="I31" s="24">
        <f>SUM(I28:I30)</f>
      </c>
      <c r="J31" s="24">
        <f>SUM(J28:J30)</f>
      </c>
      <c r="K31" s="24">
        <f>SUM(K28:K30)</f>
      </c>
      <c r="L31" s="24">
        <f>SUM(L28:L30)</f>
      </c>
      <c r="M31" s="24">
        <f>SUM(M28:M30)</f>
      </c>
      <c r="N31" s="24">
        <f>SUM(N28:N30)</f>
      </c>
      <c r="O31" s="24">
        <f>SUM(O28:O30)</f>
      </c>
      <c r="P31" s="24">
        <f>SUM(P28:P30)</f>
      </c>
    </row>
    <row r="34" spans="1:1" x14ac:dyDescent="0.25">
      <c r="A34" s="18" t="s">
        <v>48</v>
      </c>
    </row>
    <row r="35" spans="1:24" x14ac:dyDescent="0.25">
      <c r="A35" s="19" t="s">
        <v>49</v>
      </c>
      <c r="B35" s="19" t="s">
        <v>25</v>
      </c>
      <c r="C35" s="19" t="s">
        <v>17</v>
      </c>
      <c r="D35" s="19"/>
      <c r="E35" s="19" t="s">
        <v>29</v>
      </c>
      <c r="F35" s="19"/>
      <c r="G35" s="19" t="s">
        <v>30</v>
      </c>
      <c r="H35" s="19"/>
      <c r="I35" s="19" t="s">
        <v>50</v>
      </c>
      <c r="J35" s="19"/>
      <c r="K35" s="19" t="s">
        <v>51</v>
      </c>
      <c r="L35" s="19"/>
      <c r="M35" s="19" t="s">
        <v>52</v>
      </c>
      <c r="N35" s="19"/>
      <c r="O35" s="19" t="s">
        <v>53</v>
      </c>
      <c r="P35" s="19"/>
      <c r="Q35" s="19" t="s">
        <v>54</v>
      </c>
      <c r="R35" s="19"/>
      <c r="S35" s="19" t="s">
        <v>55</v>
      </c>
      <c r="T35" s="19"/>
      <c r="U35" s="19" t="s">
        <v>56</v>
      </c>
      <c r="V35" s="19"/>
      <c r="W35" s="19" t="s">
        <v>57</v>
      </c>
      <c r="X35" s="19"/>
    </row>
    <row r="36" spans="1:24" x14ac:dyDescent="0.25">
      <c r="A36" s="19"/>
      <c r="B36" s="19"/>
      <c r="C36" s="19" t="s">
        <v>33</v>
      </c>
      <c r="D36" s="19" t="s">
        <v>34</v>
      </c>
      <c r="E36" s="19" t="s">
        <v>35</v>
      </c>
      <c r="F36" s="19" t="s">
        <v>36</v>
      </c>
      <c r="G36" s="19" t="s">
        <v>35</v>
      </c>
      <c r="H36" s="19" t="s">
        <v>36</v>
      </c>
      <c r="I36" s="19" t="s">
        <v>35</v>
      </c>
      <c r="J36" s="19" t="s">
        <v>36</v>
      </c>
      <c r="K36" s="19" t="s">
        <v>35</v>
      </c>
      <c r="L36" s="19" t="s">
        <v>36</v>
      </c>
      <c r="M36" s="19" t="s">
        <v>35</v>
      </c>
      <c r="N36" s="19" t="s">
        <v>36</v>
      </c>
      <c r="O36" s="19" t="s">
        <v>35</v>
      </c>
      <c r="P36" s="19" t="s">
        <v>36</v>
      </c>
      <c r="Q36" s="19" t="s">
        <v>35</v>
      </c>
      <c r="R36" s="19" t="s">
        <v>36</v>
      </c>
      <c r="S36" s="19" t="s">
        <v>35</v>
      </c>
      <c r="T36" s="19" t="s">
        <v>36</v>
      </c>
      <c r="U36" s="19" t="s">
        <v>35</v>
      </c>
      <c r="V36" s="19" t="s">
        <v>36</v>
      </c>
      <c r="W36" s="19" t="s">
        <v>35</v>
      </c>
      <c r="X36" s="19" t="s">
        <v>36</v>
      </c>
    </row>
    <row r="37" spans="1:24" x14ac:dyDescent="0.25">
      <c r="A37" s="20" t="s">
        <v>58</v>
      </c>
      <c r="B37" s="20" t="s">
        <v>38</v>
      </c>
      <c r="C37" s="21">
        <f>SUM(E37,G37,I37,K37,M37,O37,Q37,S37,U37,W37)</f>
      </c>
      <c r="D37" s="21">
        <f>SUM(F37,H37,J37,L37,N37,P37,R37,T37,V37,X37)</f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</row>
    <row r="38" spans="1:24" x14ac:dyDescent="0.25">
      <c r="A38" s="20"/>
      <c r="B38" s="20" t="s">
        <v>39</v>
      </c>
      <c r="C38" s="21">
        <f>SUM(E38,G38,I38,K38,M38,O38,Q38,S38,U38,W38)</f>
      </c>
      <c r="D38" s="21">
        <f>SUM(F38,H38,J38,L38,N38,P38,R38,T38,V38,X38)</f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</row>
    <row r="39" spans="1:24" x14ac:dyDescent="0.25">
      <c r="A39" s="20"/>
      <c r="B39" s="20" t="s">
        <v>40</v>
      </c>
      <c r="C39" s="21">
        <f>SUM(E39,G39,I39,K39,M39,O39,Q39,S39,U39,W39)</f>
      </c>
      <c r="D39" s="21">
        <f>SUM(F39,H39,J39,L39,N39,P39,R39,T39,V39,X39)</f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</row>
    <row r="40" spans="1:24" x14ac:dyDescent="0.25">
      <c r="A40" s="23" t="s">
        <v>17</v>
      </c>
      <c r="B40" s="23" t="s">
        <v>47</v>
      </c>
      <c r="C40" s="24">
        <f>SUM(C37:C39)</f>
      </c>
      <c r="D40" s="24">
        <f>SUM(D37:D39)</f>
      </c>
      <c r="E40" s="24">
        <f>SUM(E37:E39)</f>
      </c>
      <c r="F40" s="24">
        <f>SUM(F37:F39)</f>
      </c>
      <c r="G40" s="24">
        <f>SUM(G37:G39)</f>
      </c>
      <c r="H40" s="24">
        <f>SUM(H37:H39)</f>
      </c>
      <c r="I40" s="24">
        <f>SUM(I37:I39)</f>
      </c>
      <c r="J40" s="24">
        <f>SUM(J37:J39)</f>
      </c>
      <c r="K40" s="24">
        <f>SUM(K37:K39)</f>
      </c>
      <c r="L40" s="24">
        <f>SUM(L37:L39)</f>
      </c>
      <c r="M40" s="24">
        <f>SUM(M37:M39)</f>
      </c>
      <c r="N40" s="24">
        <f>SUM(N37:N39)</f>
      </c>
      <c r="O40" s="24">
        <f>SUM(O37:O39)</f>
      </c>
      <c r="P40" s="24">
        <f>SUM(P37:P39)</f>
      </c>
      <c r="Q40" s="24">
        <f>SUM(Q37:Q39)</f>
      </c>
      <c r="R40" s="24">
        <f>SUM(R37:R39)</f>
      </c>
      <c r="S40" s="24">
        <f>SUM(S37:S39)</f>
      </c>
      <c r="T40" s="24">
        <f>SUM(T37:T39)</f>
      </c>
      <c r="U40" s="24">
        <f>SUM(U37:U39)</f>
      </c>
      <c r="V40" s="24">
        <f>SUM(V37:V39)</f>
      </c>
      <c r="W40" s="24">
        <f>SUM(W37:W39)</f>
      </c>
      <c r="X40" s="24">
        <f>SUM(X37:X39)</f>
      </c>
    </row>
    <row r="42" spans="1:1" x14ac:dyDescent="0.25">
      <c r="A42" s="18" t="s">
        <v>59</v>
      </c>
    </row>
    <row r="44" spans="1:20" x14ac:dyDescent="0.25">
      <c r="A44" s="19" t="s">
        <v>24</v>
      </c>
      <c r="B44" s="19" t="s">
        <v>25</v>
      </c>
      <c r="C44" s="19" t="s">
        <v>17</v>
      </c>
      <c r="D44" s="19"/>
      <c r="E44" s="19" t="s">
        <v>60</v>
      </c>
      <c r="F44" s="19"/>
      <c r="G44" s="19" t="s">
        <v>61</v>
      </c>
      <c r="H44" s="19"/>
      <c r="I44" s="19" t="s">
        <v>62</v>
      </c>
      <c r="J44" s="19"/>
      <c r="K44" s="19" t="s">
        <v>63</v>
      </c>
      <c r="L44" s="19"/>
      <c r="M44" s="19" t="s">
        <v>64</v>
      </c>
      <c r="N44" s="19"/>
      <c r="O44" s="19" t="s">
        <v>65</v>
      </c>
      <c r="P44" s="19"/>
      <c r="Q44" s="19" t="s">
        <v>66</v>
      </c>
      <c r="R44" s="19"/>
      <c r="S44" s="19" t="s">
        <v>67</v>
      </c>
      <c r="T44" s="19"/>
    </row>
    <row r="45" spans="1:20" x14ac:dyDescent="0.25">
      <c r="A45" s="19"/>
      <c r="B45" s="19"/>
      <c r="C45" s="19" t="s">
        <v>33</v>
      </c>
      <c r="D45" s="19" t="s">
        <v>34</v>
      </c>
      <c r="E45" s="19" t="s">
        <v>35</v>
      </c>
      <c r="F45" s="19" t="s">
        <v>36</v>
      </c>
      <c r="G45" s="19" t="s">
        <v>35</v>
      </c>
      <c r="H45" s="19" t="s">
        <v>36</v>
      </c>
      <c r="I45" s="19" t="s">
        <v>35</v>
      </c>
      <c r="J45" s="19" t="s">
        <v>36</v>
      </c>
      <c r="K45" s="19" t="s">
        <v>35</v>
      </c>
      <c r="L45" s="19" t="s">
        <v>36</v>
      </c>
      <c r="M45" s="19" t="s">
        <v>35</v>
      </c>
      <c r="N45" s="19" t="s">
        <v>36</v>
      </c>
      <c r="O45" s="19" t="s">
        <v>35</v>
      </c>
      <c r="P45" s="19" t="s">
        <v>36</v>
      </c>
      <c r="Q45" s="19" t="s">
        <v>35</v>
      </c>
      <c r="R45" s="19" t="s">
        <v>36</v>
      </c>
      <c r="S45" s="19" t="s">
        <v>35</v>
      </c>
      <c r="T45" s="19" t="s">
        <v>36</v>
      </c>
    </row>
    <row r="46" spans="1:20" x14ac:dyDescent="0.25">
      <c r="A46" s="20" t="s">
        <v>14</v>
      </c>
      <c r="B46" s="20" t="s">
        <v>38</v>
      </c>
      <c r="C46" s="21">
        <f>SUM(E46,G46,I46,K46,M46,O46,Q46,S46)</f>
      </c>
      <c r="D46" s="21">
        <f>SUM(F46,H46,J46,L46,N46,P46,R46,T46)</f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</row>
    <row r="47" spans="1:20" x14ac:dyDescent="0.25">
      <c r="A47" s="20"/>
      <c r="B47" s="20" t="s">
        <v>39</v>
      </c>
      <c r="C47" s="21">
        <f>SUM(E47,G47,I47,K47,M47,O47,Q47,S47)</f>
      </c>
      <c r="D47" s="21">
        <f>SUM(F47,H47,J47,L47,N47,P47,R47,T47)</f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</row>
    <row r="48" spans="1:20" x14ac:dyDescent="0.25">
      <c r="A48" s="20"/>
      <c r="B48" s="20" t="s">
        <v>40</v>
      </c>
      <c r="C48" s="21">
        <f>SUM(E48,G48,I48,K48,M48,O48,Q48,S48)</f>
      </c>
      <c r="D48" s="21">
        <f>SUM(F48,H48,J48,L48,N48,P48,R48,T48)</f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</row>
    <row r="49" spans="1:20" x14ac:dyDescent="0.25">
      <c r="A49" s="23" t="s">
        <v>17</v>
      </c>
      <c r="B49" s="23" t="s">
        <v>47</v>
      </c>
      <c r="C49" s="24">
        <f>SUM(C46:C48)</f>
      </c>
      <c r="D49" s="24">
        <f>SUM(D46:D48)</f>
      </c>
      <c r="E49" s="24">
        <f>SUM(E46:E48)</f>
      </c>
      <c r="F49" s="24">
        <f>SUM(F46:F48)</f>
      </c>
      <c r="G49" s="24">
        <f>SUM(G46:G48)</f>
      </c>
      <c r="H49" s="24">
        <f>SUM(H46:H48)</f>
      </c>
      <c r="I49" s="24">
        <f>SUM(I46:I48)</f>
      </c>
      <c r="J49" s="24">
        <f>SUM(J46:J48)</f>
      </c>
      <c r="K49" s="24">
        <f>SUM(K46:K48)</f>
      </c>
      <c r="L49" s="24">
        <f>SUM(L46:L48)</f>
      </c>
      <c r="M49" s="24">
        <f>SUM(M46:M48)</f>
      </c>
      <c r="N49" s="24">
        <f>SUM(N46:N48)</f>
      </c>
      <c r="O49" s="24">
        <f>SUM(O46:O48)</f>
      </c>
      <c r="P49" s="24">
        <f>SUM(P46:P48)</f>
      </c>
      <c r="Q49" s="24">
        <f>SUM(Q46:Q48)</f>
      </c>
      <c r="R49" s="24">
        <f>SUM(R46:R48)</f>
      </c>
      <c r="S49" s="24">
        <f>SUM(S46:S48)</f>
      </c>
      <c r="T49" s="24">
        <f>SUM(T46:T48)</f>
      </c>
    </row>
    <row r="57" spans="1:1" x14ac:dyDescent="0.25">
      <c r="A57" s="17" t="s">
        <v>68</v>
      </c>
    </row>
    <row r="58" spans="1:1" x14ac:dyDescent="0.25">
      <c r="A58" s="18" t="s">
        <v>69</v>
      </c>
    </row>
    <row r="59" spans="1:1" x14ac:dyDescent="0.25">
      <c r="A59" s="25" t="s">
        <v>70</v>
      </c>
    </row>
    <row r="60" spans="1:25" x14ac:dyDescent="0.25">
      <c r="A60" s="19" t="s">
        <v>25</v>
      </c>
      <c r="B60" s="19" t="s">
        <v>71</v>
      </c>
      <c r="C60" s="19" t="s">
        <v>49</v>
      </c>
      <c r="D60" s="19" t="s">
        <v>17</v>
      </c>
      <c r="E60" s="19"/>
      <c r="F60" s="19" t="s">
        <v>29</v>
      </c>
      <c r="G60" s="19"/>
      <c r="H60" s="19" t="s">
        <v>30</v>
      </c>
      <c r="I60" s="19"/>
      <c r="J60" s="19" t="s">
        <v>50</v>
      </c>
      <c r="K60" s="19"/>
      <c r="L60" s="19" t="s">
        <v>51</v>
      </c>
      <c r="M60" s="19"/>
      <c r="N60" s="19" t="s">
        <v>52</v>
      </c>
      <c r="O60" s="19"/>
      <c r="P60" s="19" t="s">
        <v>53</v>
      </c>
      <c r="Q60" s="19"/>
      <c r="R60" s="19" t="s">
        <v>54</v>
      </c>
      <c r="S60" s="19"/>
      <c r="T60" s="19" t="s">
        <v>55</v>
      </c>
      <c r="U60" s="19"/>
      <c r="V60" s="19" t="s">
        <v>56</v>
      </c>
      <c r="W60" s="19"/>
      <c r="X60" s="19" t="s">
        <v>57</v>
      </c>
      <c r="Y60" s="19"/>
    </row>
    <row r="61" spans="1:25" x14ac:dyDescent="0.25">
      <c r="A61" s="19"/>
      <c r="B61" s="19"/>
      <c r="C61" s="19"/>
      <c r="D61" s="19" t="s">
        <v>33</v>
      </c>
      <c r="E61" s="19" t="s">
        <v>34</v>
      </c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</row>
    <row r="62" spans="1:25" x14ac:dyDescent="0.25">
      <c r="A62" s="20" t="s">
        <v>38</v>
      </c>
      <c r="B62" s="20" t="s">
        <v>72</v>
      </c>
      <c r="C62" s="20" t="s">
        <v>73</v>
      </c>
      <c r="D62" s="21">
        <f>SUM(F62,H62,J62,L62,N62,P62,R62,T62,V62,X62)</f>
      </c>
      <c r="E62" s="21">
        <f>SUM(G62,I62,K62,M62,O62,Q62,S62,U62,W62,Y62)</f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</row>
    <row r="63" spans="1:25" x14ac:dyDescent="0.25">
      <c r="A63" s="20"/>
      <c r="B63" s="20" t="s">
        <v>72</v>
      </c>
      <c r="C63" s="20" t="s">
        <v>74</v>
      </c>
      <c r="D63" s="21">
        <f>SUM(F63,H63,J63,L63,N63,P63,R63,T63,V63,X63)</f>
      </c>
      <c r="E63" s="21">
        <f>SUM(G63,I63,K63,M63,O63,Q63,S63,U63,W63,Y63)</f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</row>
    <row r="64" spans="1:25" x14ac:dyDescent="0.25">
      <c r="A64" s="20"/>
      <c r="B64" s="20" t="s">
        <v>72</v>
      </c>
      <c r="C64" s="20" t="s">
        <v>75</v>
      </c>
      <c r="D64" s="21">
        <f>SUM(F64,H64,J64,L64,N64,P64,R64,T64,V64,X64)</f>
      </c>
      <c r="E64" s="21">
        <f>SUM(G64,I64,K64,M64,O64,Q64,S64,U64,W64,Y64)</f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</row>
    <row r="65" spans="1:25" x14ac:dyDescent="0.25">
      <c r="A65" s="20"/>
      <c r="B65" s="20" t="s">
        <v>72</v>
      </c>
      <c r="C65" s="20" t="s">
        <v>76</v>
      </c>
      <c r="D65" s="21">
        <f>SUM(F65,H65,J65,L65,N65,P65,R65,T65,V65,X65)</f>
      </c>
      <c r="E65" s="21">
        <f>SUM(G65,I65,K65,M65,O65,Q65,S65,U65,W65,Y65)</f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</row>
    <row r="66" spans="1:25" x14ac:dyDescent="0.25">
      <c r="A66" s="20"/>
      <c r="B66" s="20" t="s">
        <v>72</v>
      </c>
      <c r="C66" s="20" t="s">
        <v>77</v>
      </c>
      <c r="D66" s="21">
        <f>SUM(F66,H66,J66,L66,N66,P66,R66,T66,V66,X66)</f>
      </c>
      <c r="E66" s="21">
        <f>SUM(G66,I66,K66,M66,O66,Q66,S66,U66,W66,Y66)</f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</row>
    <row r="67" spans="1:25" x14ac:dyDescent="0.25">
      <c r="A67" s="20"/>
      <c r="B67" s="20" t="s">
        <v>72</v>
      </c>
      <c r="C67" s="20" t="s">
        <v>78</v>
      </c>
      <c r="D67" s="21">
        <f>SUM(F67,H67,J67,L67,N67,P67,R67,T67,V67,X67)</f>
      </c>
      <c r="E67" s="21">
        <f>SUM(G67,I67,K67,M67,O67,Q67,S67,U67,W67,Y67)</f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</row>
    <row r="68" spans="1:25" x14ac:dyDescent="0.25">
      <c r="A68" s="23" t="s">
        <v>79</v>
      </c>
      <c r="B68" s="23" t="s">
        <v>38</v>
      </c>
      <c r="C68" s="23" t="s">
        <v>80</v>
      </c>
      <c r="D68" s="24">
        <f>SUM(D62:D67)</f>
      </c>
      <c r="E68" s="24">
        <f>SUM(E62:E67)</f>
      </c>
      <c r="F68" s="24">
        <f>SUM(F62:F67)</f>
      </c>
      <c r="G68" s="24">
        <f>SUM(G62:G67)</f>
      </c>
      <c r="H68" s="24">
        <f>SUM(H62:H67)</f>
      </c>
      <c r="I68" s="24">
        <f>SUM(I62:I67)</f>
      </c>
      <c r="J68" s="24">
        <f>SUM(J62:J67)</f>
      </c>
      <c r="K68" s="24">
        <f>SUM(K62:K67)</f>
      </c>
      <c r="L68" s="24">
        <f>SUM(L62:L67)</f>
      </c>
      <c r="M68" s="24">
        <f>SUM(M62:M67)</f>
      </c>
      <c r="N68" s="24">
        <f>SUM(N62:N67)</f>
      </c>
      <c r="O68" s="24">
        <f>SUM(O62:O67)</f>
      </c>
      <c r="P68" s="24">
        <f>SUM(P62:P67)</f>
      </c>
      <c r="Q68" s="24">
        <f>SUM(Q62:Q67)</f>
      </c>
      <c r="R68" s="24">
        <f>SUM(R62:R67)</f>
      </c>
      <c r="S68" s="24">
        <f>SUM(S62:S67)</f>
      </c>
      <c r="T68" s="24">
        <f>SUM(T62:T67)</f>
      </c>
      <c r="U68" s="24">
        <f>SUM(U62:U67)</f>
      </c>
      <c r="V68" s="24">
        <f>SUM(V62:V67)</f>
      </c>
      <c r="W68" s="24">
        <f>SUM(W62:W67)</f>
      </c>
      <c r="X68" s="24">
        <f>SUM(X62:X67)</f>
      </c>
      <c r="Y68" s="24">
        <f>SUM(Y62:Y67)</f>
      </c>
    </row>
    <row r="69" spans="1:25" x14ac:dyDescent="0.25">
      <c r="A69" s="20" t="s">
        <v>39</v>
      </c>
      <c r="B69" s="20" t="s">
        <v>72</v>
      </c>
      <c r="C69" s="20" t="s">
        <v>73</v>
      </c>
      <c r="D69" s="21">
        <f>SUM(F69,H69,J69,L69,N69,P69,R69,T69,V69,X69)</f>
      </c>
      <c r="E69" s="21">
        <f>SUM(G69,I69,K69,M69,O69,Q69,S69,U69,W69,Y69)</f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</row>
    <row r="70" spans="1:25" x14ac:dyDescent="0.25">
      <c r="A70" s="20"/>
      <c r="B70" s="20" t="s">
        <v>72</v>
      </c>
      <c r="C70" s="20" t="s">
        <v>74</v>
      </c>
      <c r="D70" s="21">
        <f>SUM(F70,H70,J70,L70,N70,P70,R70,T70,V70,X70)</f>
      </c>
      <c r="E70" s="21">
        <f>SUM(G70,I70,K70,M70,O70,Q70,S70,U70,W70,Y70)</f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0</v>
      </c>
      <c r="U70" s="22">
        <v>0</v>
      </c>
      <c r="V70" s="22">
        <v>0</v>
      </c>
      <c r="W70" s="22">
        <v>0</v>
      </c>
      <c r="X70" s="22">
        <v>0</v>
      </c>
      <c r="Y70" s="22">
        <v>0</v>
      </c>
    </row>
    <row r="71" spans="1:25" x14ac:dyDescent="0.25">
      <c r="A71" s="20"/>
      <c r="B71" s="20" t="s">
        <v>72</v>
      </c>
      <c r="C71" s="20" t="s">
        <v>75</v>
      </c>
      <c r="D71" s="21">
        <f>SUM(F71,H71,J71,L71,N71,P71,R71,T71,V71,X71)</f>
      </c>
      <c r="E71" s="21">
        <f>SUM(G71,I71,K71,M71,O71,Q71,S71,U71,W71,Y71)</f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0</v>
      </c>
      <c r="Y71" s="22">
        <v>0</v>
      </c>
    </row>
    <row r="72" spans="1:25" x14ac:dyDescent="0.25">
      <c r="A72" s="20"/>
      <c r="B72" s="20" t="s">
        <v>72</v>
      </c>
      <c r="C72" s="20" t="s">
        <v>76</v>
      </c>
      <c r="D72" s="21">
        <f>SUM(F72,H72,J72,L72,N72,P72,R72,T72,V72,X72)</f>
      </c>
      <c r="E72" s="21">
        <f>SUM(G72,I72,K72,M72,O72,Q72,S72,U72,W72,Y72)</f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</row>
    <row r="73" spans="1:25" x14ac:dyDescent="0.25">
      <c r="A73" s="20"/>
      <c r="B73" s="20" t="s">
        <v>72</v>
      </c>
      <c r="C73" s="20" t="s">
        <v>77</v>
      </c>
      <c r="D73" s="21">
        <f>SUM(F73,H73,J73,L73,N73,P73,R73,T73,V73,X73)</f>
      </c>
      <c r="E73" s="21">
        <f>SUM(G73,I73,K73,M73,O73,Q73,S73,U73,W73,Y73)</f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</row>
    <row r="74" spans="1:25" x14ac:dyDescent="0.25">
      <c r="A74" s="20"/>
      <c r="B74" s="20" t="s">
        <v>72</v>
      </c>
      <c r="C74" s="20" t="s">
        <v>78</v>
      </c>
      <c r="D74" s="21">
        <f>SUM(F74,H74,J74,L74,N74,P74,R74,T74,V74,X74)</f>
      </c>
      <c r="E74" s="21">
        <f>SUM(G74,I74,K74,M74,O74,Q74,S74,U74,W74,Y74)</f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</row>
    <row r="75" spans="1:25" x14ac:dyDescent="0.25">
      <c r="A75" s="23" t="s">
        <v>79</v>
      </c>
      <c r="B75" s="23" t="s">
        <v>39</v>
      </c>
      <c r="C75" s="23" t="s">
        <v>80</v>
      </c>
      <c r="D75" s="24">
        <f>SUM(D69:D74)</f>
      </c>
      <c r="E75" s="24">
        <f>SUM(E69:E74)</f>
      </c>
      <c r="F75" s="24">
        <f>SUM(F69:F74)</f>
      </c>
      <c r="G75" s="24">
        <f>SUM(G69:G74)</f>
      </c>
      <c r="H75" s="24">
        <f>SUM(H69:H74)</f>
      </c>
      <c r="I75" s="24">
        <f>SUM(I69:I74)</f>
      </c>
      <c r="J75" s="24">
        <f>SUM(J69:J74)</f>
      </c>
      <c r="K75" s="24">
        <f>SUM(K69:K74)</f>
      </c>
      <c r="L75" s="24">
        <f>SUM(L69:L74)</f>
      </c>
      <c r="M75" s="24">
        <f>SUM(M69:M74)</f>
      </c>
      <c r="N75" s="24">
        <f>SUM(N69:N74)</f>
      </c>
      <c r="O75" s="24">
        <f>SUM(O69:O74)</f>
      </c>
      <c r="P75" s="24">
        <f>SUM(P69:P74)</f>
      </c>
      <c r="Q75" s="24">
        <f>SUM(Q69:Q74)</f>
      </c>
      <c r="R75" s="24">
        <f>SUM(R69:R74)</f>
      </c>
      <c r="S75" s="24">
        <f>SUM(S69:S74)</f>
      </c>
      <c r="T75" s="24">
        <f>SUM(T69:T74)</f>
      </c>
      <c r="U75" s="24">
        <f>SUM(U69:U74)</f>
      </c>
      <c r="V75" s="24">
        <f>SUM(V69:V74)</f>
      </c>
      <c r="W75" s="24">
        <f>SUM(W69:W74)</f>
      </c>
      <c r="X75" s="24">
        <f>SUM(X69:X74)</f>
      </c>
      <c r="Y75" s="24">
        <f>SUM(Y69:Y74)</f>
      </c>
    </row>
    <row r="76" spans="1:25" x14ac:dyDescent="0.25">
      <c r="A76" s="20" t="s">
        <v>40</v>
      </c>
      <c r="B76" s="20" t="s">
        <v>72</v>
      </c>
      <c r="C76" s="20" t="s">
        <v>73</v>
      </c>
      <c r="D76" s="21">
        <f>SUM(F76,H76,J76,L76,N76,P76,R76,T76,V76,X76)</f>
      </c>
      <c r="E76" s="21">
        <f>SUM(G76,I76,K76,M76,O76,Q76,S76,U76,W76,Y76)</f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0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</row>
    <row r="77" spans="1:25" x14ac:dyDescent="0.25">
      <c r="A77" s="20"/>
      <c r="B77" s="20" t="s">
        <v>72</v>
      </c>
      <c r="C77" s="20" t="s">
        <v>74</v>
      </c>
      <c r="D77" s="21">
        <f>SUM(F77,H77,J77,L77,N77,P77,R77,T77,V77,X77)</f>
      </c>
      <c r="E77" s="21">
        <f>SUM(G77,I77,K77,M77,O77,Q77,S77,U77,W77,Y77)</f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0</v>
      </c>
      <c r="P77" s="22">
        <v>0</v>
      </c>
      <c r="Q77" s="22">
        <v>0</v>
      </c>
      <c r="R77" s="22">
        <v>0</v>
      </c>
      <c r="S77" s="22">
        <v>0</v>
      </c>
      <c r="T77" s="22">
        <v>0</v>
      </c>
      <c r="U77" s="22">
        <v>0</v>
      </c>
      <c r="V77" s="22">
        <v>0</v>
      </c>
      <c r="W77" s="22">
        <v>0</v>
      </c>
      <c r="X77" s="22">
        <v>0</v>
      </c>
      <c r="Y77" s="22">
        <v>0</v>
      </c>
    </row>
    <row r="78" spans="1:25" x14ac:dyDescent="0.25">
      <c r="A78" s="20"/>
      <c r="B78" s="20" t="s">
        <v>72</v>
      </c>
      <c r="C78" s="20" t="s">
        <v>75</v>
      </c>
      <c r="D78" s="21">
        <f>SUM(F78,H78,J78,L78,N78,P78,R78,T78,V78,X78)</f>
      </c>
      <c r="E78" s="21">
        <f>SUM(G78,I78,K78,M78,O78,Q78,S78,U78,W78,Y78)</f>
      </c>
      <c r="F78" s="22">
        <v>0</v>
      </c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2">
        <v>0</v>
      </c>
      <c r="O78" s="22">
        <v>0</v>
      </c>
      <c r="P78" s="22">
        <v>0</v>
      </c>
      <c r="Q78" s="22">
        <v>0</v>
      </c>
      <c r="R78" s="22">
        <v>0</v>
      </c>
      <c r="S78" s="22">
        <v>0</v>
      </c>
      <c r="T78" s="22">
        <v>0</v>
      </c>
      <c r="U78" s="22">
        <v>0</v>
      </c>
      <c r="V78" s="22">
        <v>0</v>
      </c>
      <c r="W78" s="22">
        <v>0</v>
      </c>
      <c r="X78" s="22">
        <v>0</v>
      </c>
      <c r="Y78" s="22">
        <v>0</v>
      </c>
    </row>
    <row r="79" spans="1:25" x14ac:dyDescent="0.25">
      <c r="A79" s="20"/>
      <c r="B79" s="20" t="s">
        <v>72</v>
      </c>
      <c r="C79" s="20" t="s">
        <v>76</v>
      </c>
      <c r="D79" s="21">
        <f>SUM(F79,H79,J79,L79,N79,P79,R79,T79,V79,X79)</f>
      </c>
      <c r="E79" s="21">
        <f>SUM(G79,I79,K79,M79,O79,Q79,S79,U79,W79,Y79)</f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  <c r="T79" s="22">
        <v>0</v>
      </c>
      <c r="U79" s="22">
        <v>0</v>
      </c>
      <c r="V79" s="22">
        <v>0</v>
      </c>
      <c r="W79" s="22">
        <v>0</v>
      </c>
      <c r="X79" s="22">
        <v>0</v>
      </c>
      <c r="Y79" s="22">
        <v>0</v>
      </c>
    </row>
    <row r="80" spans="1:25" x14ac:dyDescent="0.25">
      <c r="A80" s="20"/>
      <c r="B80" s="20" t="s">
        <v>72</v>
      </c>
      <c r="C80" s="20" t="s">
        <v>77</v>
      </c>
      <c r="D80" s="21">
        <f>SUM(F80,H80,J80,L80,N80,P80,R80,T80,V80,X80)</f>
      </c>
      <c r="E80" s="21">
        <f>SUM(G80,I80,K80,M80,O80,Q80,S80,U80,W80,Y80)</f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</row>
    <row r="81" spans="1:25" x14ac:dyDescent="0.25">
      <c r="A81" s="20"/>
      <c r="B81" s="20" t="s">
        <v>72</v>
      </c>
      <c r="C81" s="20" t="s">
        <v>78</v>
      </c>
      <c r="D81" s="21">
        <f>SUM(F81,H81,J81,L81,N81,P81,R81,T81,V81,X81)</f>
      </c>
      <c r="E81" s="21">
        <f>SUM(G81,I81,K81,M81,O81,Q81,S81,U81,W81,Y81)</f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</row>
    <row r="82" spans="1:25" x14ac:dyDescent="0.25">
      <c r="A82" s="23" t="s">
        <v>79</v>
      </c>
      <c r="B82" s="23" t="s">
        <v>40</v>
      </c>
      <c r="C82" s="23" t="s">
        <v>80</v>
      </c>
      <c r="D82" s="24">
        <f>SUM(D76:D81)</f>
      </c>
      <c r="E82" s="24">
        <f>SUM(E76:E81)</f>
      </c>
      <c r="F82" s="24">
        <f>SUM(F76:F81)</f>
      </c>
      <c r="G82" s="24">
        <f>SUM(G76:G81)</f>
      </c>
      <c r="H82" s="24">
        <f>SUM(H76:H81)</f>
      </c>
      <c r="I82" s="24">
        <f>SUM(I76:I81)</f>
      </c>
      <c r="J82" s="24">
        <f>SUM(J76:J81)</f>
      </c>
      <c r="K82" s="24">
        <f>SUM(K76:K81)</f>
      </c>
      <c r="L82" s="24">
        <f>SUM(L76:L81)</f>
      </c>
      <c r="M82" s="24">
        <f>SUM(M76:M81)</f>
      </c>
      <c r="N82" s="24">
        <f>SUM(N76:N81)</f>
      </c>
      <c r="O82" s="24">
        <f>SUM(O76:O81)</f>
      </c>
      <c r="P82" s="24">
        <f>SUM(P76:P81)</f>
      </c>
      <c r="Q82" s="24">
        <f>SUM(Q76:Q81)</f>
      </c>
      <c r="R82" s="24">
        <f>SUM(R76:R81)</f>
      </c>
      <c r="S82" s="24">
        <f>SUM(S76:S81)</f>
      </c>
      <c r="T82" s="24">
        <f>SUM(T76:T81)</f>
      </c>
      <c r="U82" s="24">
        <f>SUM(U76:U81)</f>
      </c>
      <c r="V82" s="24">
        <f>SUM(V76:V81)</f>
      </c>
      <c r="W82" s="24">
        <f>SUM(W76:W81)</f>
      </c>
      <c r="X82" s="24">
        <f>SUM(X76:X81)</f>
      </c>
      <c r="Y82" s="24">
        <f>SUM(Y76:Y81)</f>
      </c>
    </row>
    <row r="83" spans="1:25" x14ac:dyDescent="0.25">
      <c r="A83" s="23" t="s">
        <v>81</v>
      </c>
      <c r="B83" s="23" t="s">
        <v>47</v>
      </c>
      <c r="C83" s="23" t="s">
        <v>73</v>
      </c>
      <c r="D83" s="24">
        <f>SUM(D62,D69,D76)</f>
      </c>
      <c r="E83" s="24">
        <f>SUM(E62,E69,E76)</f>
      </c>
      <c r="F83" s="24">
        <f>SUM(F62,F69,F76)</f>
      </c>
      <c r="G83" s="24">
        <f>SUM(G62,G69,G76)</f>
      </c>
      <c r="H83" s="24">
        <f>SUM(H62,H69,H76)</f>
      </c>
      <c r="I83" s="24">
        <f>SUM(I62,I69,I76)</f>
      </c>
      <c r="J83" s="24">
        <f>SUM(J62,J69,J76)</f>
      </c>
      <c r="K83" s="24">
        <f>SUM(K62,K69,K76)</f>
      </c>
      <c r="L83" s="24">
        <f>SUM(L62,L69,L76)</f>
      </c>
      <c r="M83" s="24">
        <f>SUM(M62,M69,M76)</f>
      </c>
      <c r="N83" s="24">
        <f>SUM(N62,N69,N76)</f>
      </c>
      <c r="O83" s="24">
        <f>SUM(O62,O69,O76)</f>
      </c>
      <c r="P83" s="24">
        <f>SUM(P62,P69,P76)</f>
      </c>
      <c r="Q83" s="24">
        <f>SUM(Q62,Q69,Q76)</f>
      </c>
      <c r="R83" s="24">
        <f>SUM(R62,R69,R76)</f>
      </c>
      <c r="S83" s="24">
        <f>SUM(S62,S69,S76)</f>
      </c>
      <c r="T83" s="24">
        <f>SUM(T62,T69,T76)</f>
      </c>
      <c r="U83" s="24">
        <f>SUM(U62,U69,U76)</f>
      </c>
      <c r="V83" s="24">
        <f>SUM(V62,V69,V76)</f>
      </c>
      <c r="W83" s="24">
        <f>SUM(W62,W69,W76)</f>
      </c>
      <c r="X83" s="24">
        <f>SUM(X62,X69,X76)</f>
      </c>
      <c r="Y83" s="24">
        <f>SUM(Y62,Y69,Y76)</f>
      </c>
    </row>
    <row r="84" spans="1:25" x14ac:dyDescent="0.25">
      <c r="A84" s="23" t="s">
        <v>81</v>
      </c>
      <c r="B84" s="23" t="s">
        <v>47</v>
      </c>
      <c r="C84" s="23" t="s">
        <v>74</v>
      </c>
      <c r="D84" s="24">
        <f>SUM(D63,D70,D77)</f>
      </c>
      <c r="E84" s="24">
        <f>SUM(E63,E70,E77)</f>
      </c>
      <c r="F84" s="24">
        <f>SUM(F63,F70,F77)</f>
      </c>
      <c r="G84" s="24">
        <f>SUM(G63,G70,G77)</f>
      </c>
      <c r="H84" s="24">
        <f>SUM(H63,H70,H77)</f>
      </c>
      <c r="I84" s="24">
        <f>SUM(I63,I70,I77)</f>
      </c>
      <c r="J84" s="24">
        <f>SUM(J63,J70,J77)</f>
      </c>
      <c r="K84" s="24">
        <f>SUM(K63,K70,K77)</f>
      </c>
      <c r="L84" s="24">
        <f>SUM(L63,L70,L77)</f>
      </c>
      <c r="M84" s="24">
        <f>SUM(M63,M70,M77)</f>
      </c>
      <c r="N84" s="24">
        <f>SUM(N63,N70,N77)</f>
      </c>
      <c r="O84" s="24">
        <f>SUM(O63,O70,O77)</f>
      </c>
      <c r="P84" s="24">
        <f>SUM(P63,P70,P77)</f>
      </c>
      <c r="Q84" s="24">
        <f>SUM(Q63,Q70,Q77)</f>
      </c>
      <c r="R84" s="24">
        <f>SUM(R63,R70,R77)</f>
      </c>
      <c r="S84" s="24">
        <f>SUM(S63,S70,S77)</f>
      </c>
      <c r="T84" s="24">
        <f>SUM(T63,T70,T77)</f>
      </c>
      <c r="U84" s="24">
        <f>SUM(U63,U70,U77)</f>
      </c>
      <c r="V84" s="24">
        <f>SUM(V63,V70,V77)</f>
      </c>
      <c r="W84" s="24">
        <f>SUM(W63,W70,W77)</f>
      </c>
      <c r="X84" s="24">
        <f>SUM(X63,X70,X77)</f>
      </c>
      <c r="Y84" s="24">
        <f>SUM(Y63,Y70,Y77)</f>
      </c>
    </row>
    <row r="85" spans="1:25" x14ac:dyDescent="0.25">
      <c r="A85" s="23" t="s">
        <v>81</v>
      </c>
      <c r="B85" s="23" t="s">
        <v>47</v>
      </c>
      <c r="C85" s="23" t="s">
        <v>75</v>
      </c>
      <c r="D85" s="24">
        <f>SUM(D64,D71,D78)</f>
      </c>
      <c r="E85" s="24">
        <f>SUM(E64,E71,E78)</f>
      </c>
      <c r="F85" s="24">
        <f>SUM(F64,F71,F78)</f>
      </c>
      <c r="G85" s="24">
        <f>SUM(G64,G71,G78)</f>
      </c>
      <c r="H85" s="24">
        <f>SUM(H64,H71,H78)</f>
      </c>
      <c r="I85" s="24">
        <f>SUM(I64,I71,I78)</f>
      </c>
      <c r="J85" s="24">
        <f>SUM(J64,J71,J78)</f>
      </c>
      <c r="K85" s="24">
        <f>SUM(K64,K71,K78)</f>
      </c>
      <c r="L85" s="24">
        <f>SUM(L64,L71,L78)</f>
      </c>
      <c r="M85" s="24">
        <f>SUM(M64,M71,M78)</f>
      </c>
      <c r="N85" s="24">
        <f>SUM(N64,N71,N78)</f>
      </c>
      <c r="O85" s="24">
        <f>SUM(O64,O71,O78)</f>
      </c>
      <c r="P85" s="24">
        <f>SUM(P64,P71,P78)</f>
      </c>
      <c r="Q85" s="24">
        <f>SUM(Q64,Q71,Q78)</f>
      </c>
      <c r="R85" s="24">
        <f>SUM(R64,R71,R78)</f>
      </c>
      <c r="S85" s="24">
        <f>SUM(S64,S71,S78)</f>
      </c>
      <c r="T85" s="24">
        <f>SUM(T64,T71,T78)</f>
      </c>
      <c r="U85" s="24">
        <f>SUM(U64,U71,U78)</f>
      </c>
      <c r="V85" s="24">
        <f>SUM(V64,V71,V78)</f>
      </c>
      <c r="W85" s="24">
        <f>SUM(W64,W71,W78)</f>
      </c>
      <c r="X85" s="24">
        <f>SUM(X64,X71,X78)</f>
      </c>
      <c r="Y85" s="24">
        <f>SUM(Y64,Y71,Y78)</f>
      </c>
    </row>
    <row r="86" spans="1:25" x14ac:dyDescent="0.25">
      <c r="A86" s="23" t="s">
        <v>81</v>
      </c>
      <c r="B86" s="23" t="s">
        <v>47</v>
      </c>
      <c r="C86" s="23" t="s">
        <v>76</v>
      </c>
      <c r="D86" s="24">
        <f>SUM(D65,D72,D79)</f>
      </c>
      <c r="E86" s="24">
        <f>SUM(E65,E72,E79)</f>
      </c>
      <c r="F86" s="24">
        <f>SUM(F65,F72,F79)</f>
      </c>
      <c r="G86" s="24">
        <f>SUM(G65,G72,G79)</f>
      </c>
      <c r="H86" s="24">
        <f>SUM(H65,H72,H79)</f>
      </c>
      <c r="I86" s="24">
        <f>SUM(I65,I72,I79)</f>
      </c>
      <c r="J86" s="24">
        <f>SUM(J65,J72,J79)</f>
      </c>
      <c r="K86" s="24">
        <f>SUM(K65,K72,K79)</f>
      </c>
      <c r="L86" s="24">
        <f>SUM(L65,L72,L79)</f>
      </c>
      <c r="M86" s="24">
        <f>SUM(M65,M72,M79)</f>
      </c>
      <c r="N86" s="24">
        <f>SUM(N65,N72,N79)</f>
      </c>
      <c r="O86" s="24">
        <f>SUM(O65,O72,O79)</f>
      </c>
      <c r="P86" s="24">
        <f>SUM(P65,P72,P79)</f>
      </c>
      <c r="Q86" s="24">
        <f>SUM(Q65,Q72,Q79)</f>
      </c>
      <c r="R86" s="24">
        <f>SUM(R65,R72,R79)</f>
      </c>
      <c r="S86" s="24">
        <f>SUM(S65,S72,S79)</f>
      </c>
      <c r="T86" s="24">
        <f>SUM(T65,T72,T79)</f>
      </c>
      <c r="U86" s="24">
        <f>SUM(U65,U72,U79)</f>
      </c>
      <c r="V86" s="24">
        <f>SUM(V65,V72,V79)</f>
      </c>
      <c r="W86" s="24">
        <f>SUM(W65,W72,W79)</f>
      </c>
      <c r="X86" s="24">
        <f>SUM(X65,X72,X79)</f>
      </c>
      <c r="Y86" s="24">
        <f>SUM(Y65,Y72,Y79)</f>
      </c>
    </row>
    <row r="87" spans="1:25" x14ac:dyDescent="0.25">
      <c r="A87" s="23" t="s">
        <v>81</v>
      </c>
      <c r="B87" s="23" t="s">
        <v>47</v>
      </c>
      <c r="C87" s="23" t="s">
        <v>77</v>
      </c>
      <c r="D87" s="24">
        <f>SUM(D66,D73,D80)</f>
      </c>
      <c r="E87" s="24">
        <f>SUM(E66,E73,E80)</f>
      </c>
      <c r="F87" s="24">
        <f>SUM(F66,F73,F80)</f>
      </c>
      <c r="G87" s="24">
        <f>SUM(G66,G73,G80)</f>
      </c>
      <c r="H87" s="24">
        <f>SUM(H66,H73,H80)</f>
      </c>
      <c r="I87" s="24">
        <f>SUM(I66,I73,I80)</f>
      </c>
      <c r="J87" s="24">
        <f>SUM(J66,J73,J80)</f>
      </c>
      <c r="K87" s="24">
        <f>SUM(K66,K73,K80)</f>
      </c>
      <c r="L87" s="24">
        <f>SUM(L66,L73,L80)</f>
      </c>
      <c r="M87" s="24">
        <f>SUM(M66,M73,M80)</f>
      </c>
      <c r="N87" s="24">
        <f>SUM(N66,N73,N80)</f>
      </c>
      <c r="O87" s="24">
        <f>SUM(O66,O73,O80)</f>
      </c>
      <c r="P87" s="24">
        <f>SUM(P66,P73,P80)</f>
      </c>
      <c r="Q87" s="24">
        <f>SUM(Q66,Q73,Q80)</f>
      </c>
      <c r="R87" s="24">
        <f>SUM(R66,R73,R80)</f>
      </c>
      <c r="S87" s="24">
        <f>SUM(S66,S73,S80)</f>
      </c>
      <c r="T87" s="24">
        <f>SUM(T66,T73,T80)</f>
      </c>
      <c r="U87" s="24">
        <f>SUM(U66,U73,U80)</f>
      </c>
      <c r="V87" s="24">
        <f>SUM(V66,V73,V80)</f>
      </c>
      <c r="W87" s="24">
        <f>SUM(W66,W73,W80)</f>
      </c>
      <c r="X87" s="24">
        <f>SUM(X66,X73,X80)</f>
      </c>
      <c r="Y87" s="24">
        <f>SUM(Y66,Y73,Y80)</f>
      </c>
    </row>
    <row r="88" spans="1:25" x14ac:dyDescent="0.25">
      <c r="A88" s="23" t="s">
        <v>81</v>
      </c>
      <c r="B88" s="23" t="s">
        <v>47</v>
      </c>
      <c r="C88" s="23" t="s">
        <v>78</v>
      </c>
      <c r="D88" s="24">
        <f>SUM(D67,D74,D81)</f>
      </c>
      <c r="E88" s="24">
        <f>SUM(E67,E74,E81)</f>
      </c>
      <c r="F88" s="24">
        <f>SUM(F67,F74,F81)</f>
      </c>
      <c r="G88" s="24">
        <f>SUM(G67,G74,G81)</f>
      </c>
      <c r="H88" s="24">
        <f>SUM(H67,H74,H81)</f>
      </c>
      <c r="I88" s="24">
        <f>SUM(I67,I74,I81)</f>
      </c>
      <c r="J88" s="24">
        <f>SUM(J67,J74,J81)</f>
      </c>
      <c r="K88" s="24">
        <f>SUM(K67,K74,K81)</f>
      </c>
      <c r="L88" s="24">
        <f>SUM(L67,L74,L81)</f>
      </c>
      <c r="M88" s="24">
        <f>SUM(M67,M74,M81)</f>
      </c>
      <c r="N88" s="24">
        <f>SUM(N67,N74,N81)</f>
      </c>
      <c r="O88" s="24">
        <f>SUM(O67,O74,O81)</f>
      </c>
      <c r="P88" s="24">
        <f>SUM(P67,P74,P81)</f>
      </c>
      <c r="Q88" s="24">
        <f>SUM(Q67,Q74,Q81)</f>
      </c>
      <c r="R88" s="24">
        <f>SUM(R67,R74,R81)</f>
      </c>
      <c r="S88" s="24">
        <f>SUM(S67,S74,S81)</f>
      </c>
      <c r="T88" s="24">
        <f>SUM(T67,T74,T81)</f>
      </c>
      <c r="U88" s="24">
        <f>SUM(U67,U74,U81)</f>
      </c>
      <c r="V88" s="24">
        <f>SUM(V67,V74,V81)</f>
      </c>
      <c r="W88" s="24">
        <f>SUM(W67,W74,W81)</f>
      </c>
      <c r="X88" s="24">
        <f>SUM(X67,X74,X81)</f>
      </c>
      <c r="Y88" s="24">
        <f>SUM(Y67,Y74,Y81)</f>
      </c>
    </row>
    <row r="89" spans="1:25" x14ac:dyDescent="0.25">
      <c r="A89" s="23" t="s">
        <v>46</v>
      </c>
      <c r="B89" s="23" t="s">
        <v>82</v>
      </c>
      <c r="C89" s="23" t="s">
        <v>80</v>
      </c>
      <c r="D89" s="24">
        <f>SUM(D68,D75,D82)</f>
      </c>
      <c r="E89" s="24">
        <f>SUM(E68,E75,E82)</f>
      </c>
      <c r="F89" s="24">
        <f>SUM(F68,F75,F82)</f>
      </c>
      <c r="G89" s="24">
        <f>SUM(G68,G75,G82)</f>
      </c>
      <c r="H89" s="24">
        <f>SUM(H68,H75,H82)</f>
      </c>
      <c r="I89" s="24">
        <f>SUM(I68,I75,I82)</f>
      </c>
      <c r="J89" s="24">
        <f>SUM(J68,J75,J82)</f>
      </c>
      <c r="K89" s="24">
        <f>SUM(K68,K75,K82)</f>
      </c>
      <c r="L89" s="24">
        <f>SUM(L68,L75,L82)</f>
      </c>
      <c r="M89" s="24">
        <f>SUM(M68,M75,M82)</f>
      </c>
      <c r="N89" s="24">
        <f>SUM(N68,N75,N82)</f>
      </c>
      <c r="O89" s="24">
        <f>SUM(O68,O75,O82)</f>
      </c>
      <c r="P89" s="24">
        <f>SUM(P68,P75,P82)</f>
      </c>
      <c r="Q89" s="24">
        <f>SUM(Q68,Q75,Q82)</f>
      </c>
      <c r="R89" s="24">
        <f>SUM(R68,R75,R82)</f>
      </c>
      <c r="S89" s="24">
        <f>SUM(S68,S75,S82)</f>
      </c>
      <c r="T89" s="24">
        <f>SUM(T68,T75,T82)</f>
      </c>
      <c r="U89" s="24">
        <f>SUM(U68,U75,U82)</f>
      </c>
      <c r="V89" s="24">
        <f>SUM(V68,V75,V82)</f>
      </c>
      <c r="W89" s="24">
        <f>SUM(W68,W75,W82)</f>
      </c>
      <c r="X89" s="24">
        <f>SUM(X68,X75,X82)</f>
      </c>
      <c r="Y89" s="24">
        <f>SUM(Y68,Y75,Y82)</f>
      </c>
    </row>
    <row r="92" spans="1:1" x14ac:dyDescent="0.25">
      <c r="A92" s="18" t="s">
        <v>83</v>
      </c>
    </row>
    <row r="94" spans="1:20" x14ac:dyDescent="0.25">
      <c r="A94" s="19" t="s">
        <v>84</v>
      </c>
      <c r="B94" s="19" t="s">
        <v>49</v>
      </c>
      <c r="C94" s="19" t="s">
        <v>17</v>
      </c>
      <c r="D94" s="19"/>
      <c r="E94" s="19" t="s">
        <v>60</v>
      </c>
      <c r="F94" s="19"/>
      <c r="G94" s="19" t="s">
        <v>61</v>
      </c>
      <c r="H94" s="19"/>
      <c r="I94" s="19" t="s">
        <v>62</v>
      </c>
      <c r="J94" s="19"/>
      <c r="K94" s="19" t="s">
        <v>63</v>
      </c>
      <c r="L94" s="19"/>
      <c r="M94" s="19" t="s">
        <v>64</v>
      </c>
      <c r="N94" s="19"/>
      <c r="O94" s="19" t="s">
        <v>65</v>
      </c>
      <c r="P94" s="19"/>
      <c r="Q94" s="19" t="s">
        <v>66</v>
      </c>
      <c r="R94" s="19"/>
      <c r="S94" s="19" t="s">
        <v>67</v>
      </c>
      <c r="T94" s="19"/>
    </row>
    <row r="95" spans="1:20" x14ac:dyDescent="0.25">
      <c r="A95" s="19"/>
      <c r="B95" s="19"/>
      <c r="C95" s="19" t="s">
        <v>33</v>
      </c>
      <c r="D95" s="19" t="s">
        <v>34</v>
      </c>
      <c r="E95" s="19" t="s">
        <v>35</v>
      </c>
      <c r="F95" s="19" t="s">
        <v>36</v>
      </c>
      <c r="G95" s="19" t="s">
        <v>35</v>
      </c>
      <c r="H95" s="19" t="s">
        <v>36</v>
      </c>
      <c r="I95" s="19" t="s">
        <v>35</v>
      </c>
      <c r="J95" s="19" t="s">
        <v>36</v>
      </c>
      <c r="K95" s="19" t="s">
        <v>35</v>
      </c>
      <c r="L95" s="19" t="s">
        <v>36</v>
      </c>
      <c r="M95" s="19" t="s">
        <v>35</v>
      </c>
      <c r="N95" s="19" t="s">
        <v>36</v>
      </c>
      <c r="O95" s="19" t="s">
        <v>35</v>
      </c>
      <c r="P95" s="19" t="s">
        <v>36</v>
      </c>
      <c r="Q95" s="19" t="s">
        <v>35</v>
      </c>
      <c r="R95" s="19" t="s">
        <v>36</v>
      </c>
      <c r="S95" s="19" t="s">
        <v>35</v>
      </c>
      <c r="T95" s="19" t="s">
        <v>36</v>
      </c>
    </row>
    <row r="96" spans="1:20" x14ac:dyDescent="0.25">
      <c r="A96" s="20" t="s">
        <v>38</v>
      </c>
      <c r="B96" s="20" t="s">
        <v>73</v>
      </c>
      <c r="C96" s="21">
        <f>SUM(E96,G96,I96,K96,M96,O96,Q96,S96)</f>
      </c>
      <c r="D96" s="21">
        <f>SUM(F96,H96,J96,L96,N96,P96,R96,T96)</f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0</v>
      </c>
      <c r="T96" s="22">
        <v>0</v>
      </c>
    </row>
    <row r="97" spans="1:20" x14ac:dyDescent="0.25">
      <c r="A97" s="20"/>
      <c r="B97" s="20" t="s">
        <v>74</v>
      </c>
      <c r="C97" s="21">
        <f>SUM(E97,G97,I97,K97,M97,O97,Q97,S97)</f>
      </c>
      <c r="D97" s="21">
        <f>SUM(F97,H97,J97,L97,N97,P97,R97,T97)</f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0</v>
      </c>
      <c r="T97" s="22">
        <v>0</v>
      </c>
    </row>
    <row r="98" spans="1:20" x14ac:dyDescent="0.25">
      <c r="A98" s="20"/>
      <c r="B98" s="20" t="s">
        <v>75</v>
      </c>
      <c r="C98" s="21">
        <f>SUM(E98,G98,I98,K98,M98,O98,Q98,S98)</f>
      </c>
      <c r="D98" s="21">
        <f>SUM(F98,H98,J98,L98,N98,P98,R98,T98)</f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  <c r="S98" s="22">
        <v>0</v>
      </c>
      <c r="T98" s="22">
        <v>0</v>
      </c>
    </row>
    <row r="99" spans="1:20" x14ac:dyDescent="0.25">
      <c r="A99" s="20"/>
      <c r="B99" s="20" t="s">
        <v>76</v>
      </c>
      <c r="C99" s="21">
        <f>SUM(E99,G99,I99,K99,M99,O99,Q99,S99)</f>
      </c>
      <c r="D99" s="21">
        <f>SUM(F99,H99,J99,L99,N99,P99,R99,T99)</f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0</v>
      </c>
      <c r="P99" s="22">
        <v>0</v>
      </c>
      <c r="Q99" s="22">
        <v>0</v>
      </c>
      <c r="R99" s="22">
        <v>0</v>
      </c>
      <c r="S99" s="22">
        <v>0</v>
      </c>
      <c r="T99" s="22">
        <v>0</v>
      </c>
    </row>
    <row r="100" spans="1:20" x14ac:dyDescent="0.25">
      <c r="A100" s="20"/>
      <c r="B100" s="20" t="s">
        <v>77</v>
      </c>
      <c r="C100" s="21">
        <f>SUM(E100,G100,I100,K100,M100,O100,Q100,S100)</f>
      </c>
      <c r="D100" s="21">
        <f>SUM(F100,H100,J100,L100,N100,P100,R100,T100)</f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  <c r="S100" s="22">
        <v>0</v>
      </c>
      <c r="T100" s="22">
        <v>0</v>
      </c>
    </row>
    <row r="101" spans="1:20" x14ac:dyDescent="0.25">
      <c r="A101" s="20"/>
      <c r="B101" s="20" t="s">
        <v>78</v>
      </c>
      <c r="C101" s="21">
        <f>SUM(E101,G101,I101,K101,M101,O101,Q101,S101)</f>
      </c>
      <c r="D101" s="21">
        <f>SUM(F101,H101,J101,L101,N101,P101,R101,T101)</f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2">
        <v>0</v>
      </c>
      <c r="O101" s="22">
        <v>0</v>
      </c>
      <c r="P101" s="22">
        <v>0</v>
      </c>
      <c r="Q101" s="22">
        <v>0</v>
      </c>
      <c r="R101" s="22">
        <v>0</v>
      </c>
      <c r="S101" s="22">
        <v>0</v>
      </c>
      <c r="T101" s="22">
        <v>0</v>
      </c>
    </row>
    <row r="102" spans="1:20" x14ac:dyDescent="0.25">
      <c r="A102" s="23" t="s">
        <v>17</v>
      </c>
      <c r="B102" s="23" t="s">
        <v>80</v>
      </c>
      <c r="C102" s="24">
        <f>SUM(C96:C101)</f>
      </c>
      <c r="D102" s="24">
        <f>SUM(D96:D101)</f>
      </c>
      <c r="E102" s="24">
        <f>SUM(E96:E101)</f>
      </c>
      <c r="F102" s="24">
        <f>SUM(F96:F101)</f>
      </c>
      <c r="G102" s="24">
        <f>SUM(G96:G101)</f>
      </c>
      <c r="H102" s="24">
        <f>SUM(H96:H101)</f>
      </c>
      <c r="I102" s="24">
        <f>SUM(I96:I101)</f>
      </c>
      <c r="J102" s="24">
        <f>SUM(J96:J101)</f>
      </c>
      <c r="K102" s="24">
        <f>SUM(K96:K101)</f>
      </c>
      <c r="L102" s="24">
        <f>SUM(L96:L101)</f>
      </c>
      <c r="M102" s="24">
        <f>SUM(M96:M101)</f>
      </c>
      <c r="N102" s="24">
        <f>SUM(N96:N101)</f>
      </c>
      <c r="O102" s="24">
        <f>SUM(O96:O101)</f>
      </c>
      <c r="P102" s="24">
        <f>SUM(P96:P101)</f>
      </c>
      <c r="Q102" s="24">
        <f>SUM(Q96:Q101)</f>
      </c>
      <c r="R102" s="24">
        <f>SUM(R96:R101)</f>
      </c>
      <c r="S102" s="24">
        <f>SUM(S96:S101)</f>
      </c>
      <c r="T102" s="24">
        <f>SUM(T96:T101)</f>
      </c>
    </row>
    <row r="106" spans="1:1" x14ac:dyDescent="0.25">
      <c r="A106" s="18" t="s">
        <v>85</v>
      </c>
    </row>
    <row r="108" spans="1:22" x14ac:dyDescent="0.25">
      <c r="A108" s="19" t="s">
        <v>84</v>
      </c>
      <c r="B108" s="19" t="s">
        <v>24</v>
      </c>
      <c r="C108" s="19" t="s">
        <v>17</v>
      </c>
      <c r="D108" s="19"/>
      <c r="E108" s="19" t="s">
        <v>50</v>
      </c>
      <c r="F108" s="19"/>
      <c r="G108" s="19" t="s">
        <v>51</v>
      </c>
      <c r="H108" s="19"/>
      <c r="I108" s="19" t="s">
        <v>52</v>
      </c>
      <c r="J108" s="19"/>
      <c r="K108" s="19" t="s">
        <v>53</v>
      </c>
      <c r="L108" s="19"/>
      <c r="M108" s="19" t="s">
        <v>54</v>
      </c>
      <c r="N108" s="19"/>
      <c r="O108" s="19" t="s">
        <v>55</v>
      </c>
      <c r="P108" s="19"/>
      <c r="Q108" s="19" t="s">
        <v>56</v>
      </c>
      <c r="R108" s="19"/>
      <c r="S108" s="19" t="s">
        <v>86</v>
      </c>
      <c r="T108" s="19"/>
      <c r="U108" s="19" t="s">
        <v>87</v>
      </c>
      <c r="V108" s="19"/>
    </row>
    <row r="109" spans="1:22" x14ac:dyDescent="0.25">
      <c r="A109" s="19"/>
      <c r="B109" s="19"/>
      <c r="C109" s="19" t="s">
        <v>33</v>
      </c>
      <c r="D109" s="19" t="s">
        <v>34</v>
      </c>
      <c r="E109" s="19" t="s">
        <v>35</v>
      </c>
      <c r="F109" s="19" t="s">
        <v>36</v>
      </c>
      <c r="G109" s="19" t="s">
        <v>35</v>
      </c>
      <c r="H109" s="19" t="s">
        <v>36</v>
      </c>
      <c r="I109" s="19" t="s">
        <v>35</v>
      </c>
      <c r="J109" s="19" t="s">
        <v>36</v>
      </c>
      <c r="K109" s="19" t="s">
        <v>35</v>
      </c>
      <c r="L109" s="19" t="s">
        <v>36</v>
      </c>
      <c r="M109" s="19" t="s">
        <v>35</v>
      </c>
      <c r="N109" s="19" t="s">
        <v>36</v>
      </c>
      <c r="O109" s="19" t="s">
        <v>35</v>
      </c>
      <c r="P109" s="19" t="s">
        <v>36</v>
      </c>
      <c r="Q109" s="19" t="s">
        <v>35</v>
      </c>
      <c r="R109" s="19" t="s">
        <v>36</v>
      </c>
      <c r="S109" s="19" t="s">
        <v>35</v>
      </c>
      <c r="T109" s="19" t="s">
        <v>36</v>
      </c>
      <c r="U109" s="19" t="s">
        <v>35</v>
      </c>
      <c r="V109" s="19" t="s">
        <v>36</v>
      </c>
    </row>
    <row r="113" spans="1:22" x14ac:dyDescent="0.25">
      <c r="A113" s="20" t="s">
        <v>38</v>
      </c>
      <c r="B113" s="20" t="s">
        <v>88</v>
      </c>
      <c r="C113" s="21">
        <f>SUM(E113,G113,I113,K113,M113,O113,Q113,S113,U113)</f>
      </c>
      <c r="D113" s="21">
        <f>SUM(F113,H113,J113,L113,N113,P113,R113,T113,V113)</f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>
        <v>0</v>
      </c>
      <c r="M113" s="22">
        <v>0</v>
      </c>
      <c r="N113" s="22">
        <v>0</v>
      </c>
      <c r="O113" s="22">
        <v>0</v>
      </c>
      <c r="P113" s="22">
        <v>0</v>
      </c>
      <c r="Q113" s="22">
        <v>0</v>
      </c>
      <c r="R113" s="22">
        <v>0</v>
      </c>
      <c r="S113" s="22">
        <v>0</v>
      </c>
      <c r="T113" s="22">
        <v>0</v>
      </c>
      <c r="U113" s="22">
        <v>0</v>
      </c>
      <c r="V113" s="22">
        <v>0</v>
      </c>
    </row>
    <row r="114" spans="1:22" x14ac:dyDescent="0.25">
      <c r="A114" s="20"/>
      <c r="B114" s="20" t="s">
        <v>89</v>
      </c>
      <c r="C114" s="21">
        <f>SUM(E114,G114,I114,K114,M114,O114,Q114,S114,U114)</f>
      </c>
      <c r="D114" s="21">
        <f>SUM(F114,H114,J114,L114,N114,P114,R114,T114,V114)</f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2">
        <v>0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  <c r="R114" s="22">
        <v>0</v>
      </c>
      <c r="S114" s="22">
        <v>0</v>
      </c>
      <c r="T114" s="22">
        <v>0</v>
      </c>
      <c r="U114" s="22">
        <v>0</v>
      </c>
      <c r="V114" s="22">
        <v>0</v>
      </c>
    </row>
    <row r="115" spans="1:22" x14ac:dyDescent="0.25">
      <c r="A115" s="20"/>
      <c r="B115" s="20" t="s">
        <v>90</v>
      </c>
      <c r="C115" s="21">
        <f>SUM(E115,G115,I115,K115,M115,O115,Q115,S115,U115)</f>
      </c>
      <c r="D115" s="21">
        <f>SUM(F115,H115,J115,L115,N115,P115,R115,T115,V115)</f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0</v>
      </c>
      <c r="S115" s="22">
        <v>0</v>
      </c>
      <c r="T115" s="22">
        <v>0</v>
      </c>
      <c r="U115" s="22">
        <v>0</v>
      </c>
      <c r="V115" s="22">
        <v>0</v>
      </c>
    </row>
    <row r="116" spans="1:22" x14ac:dyDescent="0.25">
      <c r="A116" s="23" t="s">
        <v>79</v>
      </c>
      <c r="B116" s="23" t="s">
        <v>38</v>
      </c>
      <c r="C116" s="24">
        <f>SUM(C113:C115)</f>
      </c>
      <c r="D116" s="24">
        <f>SUM(D113:D115)</f>
      </c>
      <c r="E116" s="24">
        <f>SUM(E113:E115)</f>
      </c>
      <c r="F116" s="24">
        <f>SUM(F113:F115)</f>
      </c>
      <c r="G116" s="24">
        <f>SUM(G113:G115)</f>
      </c>
      <c r="H116" s="24">
        <f>SUM(H113:H115)</f>
      </c>
      <c r="I116" s="24">
        <f>SUM(I113:I115)</f>
      </c>
      <c r="J116" s="24">
        <f>SUM(J113:J115)</f>
      </c>
      <c r="K116" s="24">
        <f>SUM(K113:K115)</f>
      </c>
      <c r="L116" s="24">
        <f>SUM(L113:L115)</f>
      </c>
      <c r="M116" s="24">
        <f>SUM(M113:M115)</f>
      </c>
      <c r="N116" s="24">
        <f>SUM(N113:N115)</f>
      </c>
      <c r="O116" s="24">
        <f>SUM(O113:O115)</f>
      </c>
      <c r="P116" s="24">
        <f>SUM(P113:P115)</f>
      </c>
      <c r="Q116" s="24">
        <f>SUM(Q113:Q115)</f>
      </c>
      <c r="R116" s="24">
        <f>SUM(R113:R115)</f>
      </c>
      <c r="S116" s="24">
        <f>SUM(S113:S115)</f>
      </c>
      <c r="T116" s="24">
        <f>SUM(T113:T115)</f>
      </c>
      <c r="U116" s="24">
        <f>SUM(U113:U115)</f>
      </c>
      <c r="V116" s="24">
        <f>SUM(V113:V115)</f>
      </c>
    </row>
    <row r="117" spans="1:22" x14ac:dyDescent="0.25">
      <c r="A117" s="20" t="s">
        <v>39</v>
      </c>
      <c r="B117" s="20" t="s">
        <v>88</v>
      </c>
      <c r="C117" s="21">
        <f>SUM(E117,G117,I117,K117,M117,O117,Q117,S117,U117)</f>
      </c>
      <c r="D117" s="21">
        <f>SUM(F117,H117,J117,L117,N117,P117,R117,T117,V117)</f>
      </c>
      <c r="E117" s="22">
        <v>0</v>
      </c>
      <c r="F117" s="22">
        <v>0</v>
      </c>
      <c r="G117" s="22">
        <v>0</v>
      </c>
      <c r="H117" s="22">
        <v>0</v>
      </c>
      <c r="I117" s="22">
        <v>0</v>
      </c>
      <c r="J117" s="22">
        <v>0</v>
      </c>
      <c r="K117" s="22">
        <v>0</v>
      </c>
      <c r="L117" s="22">
        <v>0</v>
      </c>
      <c r="M117" s="22">
        <v>0</v>
      </c>
      <c r="N117" s="22">
        <v>0</v>
      </c>
      <c r="O117" s="22">
        <v>0</v>
      </c>
      <c r="P117" s="22">
        <v>0</v>
      </c>
      <c r="Q117" s="22">
        <v>0</v>
      </c>
      <c r="R117" s="22">
        <v>0</v>
      </c>
      <c r="S117" s="22">
        <v>0</v>
      </c>
      <c r="T117" s="22">
        <v>0</v>
      </c>
      <c r="U117" s="22">
        <v>0</v>
      </c>
      <c r="V117" s="22">
        <v>0</v>
      </c>
    </row>
    <row r="118" spans="1:22" x14ac:dyDescent="0.25">
      <c r="A118" s="20"/>
      <c r="B118" s="20" t="s">
        <v>89</v>
      </c>
      <c r="C118" s="21">
        <f>SUM(E118,G118,I118,K118,M118,O118,Q118,S118,U118)</f>
      </c>
      <c r="D118" s="21">
        <f>SUM(F118,H118,J118,L118,N118,P118,R118,T118,V118)</f>
      </c>
      <c r="E118" s="22">
        <v>0</v>
      </c>
      <c r="F118" s="22">
        <v>0</v>
      </c>
      <c r="G118" s="22">
        <v>0</v>
      </c>
      <c r="H118" s="22">
        <v>0</v>
      </c>
      <c r="I118" s="22">
        <v>0</v>
      </c>
      <c r="J118" s="22">
        <v>0</v>
      </c>
      <c r="K118" s="22">
        <v>0</v>
      </c>
      <c r="L118" s="22">
        <v>0</v>
      </c>
      <c r="M118" s="22">
        <v>0</v>
      </c>
      <c r="N118" s="22">
        <v>0</v>
      </c>
      <c r="O118" s="22">
        <v>0</v>
      </c>
      <c r="P118" s="22">
        <v>0</v>
      </c>
      <c r="Q118" s="22">
        <v>0</v>
      </c>
      <c r="R118" s="22">
        <v>0</v>
      </c>
      <c r="S118" s="22">
        <v>0</v>
      </c>
      <c r="T118" s="22">
        <v>0</v>
      </c>
      <c r="U118" s="22">
        <v>0</v>
      </c>
      <c r="V118" s="22">
        <v>0</v>
      </c>
    </row>
    <row r="119" spans="1:22" x14ac:dyDescent="0.25">
      <c r="A119" s="20"/>
      <c r="B119" s="20" t="s">
        <v>90</v>
      </c>
      <c r="C119" s="21">
        <f>SUM(E119,G119,I119,K119,M119,O119,Q119,S119,U119)</f>
      </c>
      <c r="D119" s="21">
        <f>SUM(F119,H119,J119,L119,N119,P119,R119,T119,V119)</f>
      </c>
      <c r="E119" s="22">
        <v>0</v>
      </c>
      <c r="F119" s="22">
        <v>0</v>
      </c>
      <c r="G119" s="22">
        <v>0</v>
      </c>
      <c r="H119" s="22">
        <v>0</v>
      </c>
      <c r="I119" s="22">
        <v>0</v>
      </c>
      <c r="J119" s="22">
        <v>0</v>
      </c>
      <c r="K119" s="22">
        <v>0</v>
      </c>
      <c r="L119" s="22">
        <v>0</v>
      </c>
      <c r="M119" s="22">
        <v>0</v>
      </c>
      <c r="N119" s="22">
        <v>0</v>
      </c>
      <c r="O119" s="22">
        <v>0</v>
      </c>
      <c r="P119" s="22">
        <v>0</v>
      </c>
      <c r="Q119" s="22">
        <v>0</v>
      </c>
      <c r="R119" s="22">
        <v>0</v>
      </c>
      <c r="S119" s="22">
        <v>0</v>
      </c>
      <c r="T119" s="22">
        <v>0</v>
      </c>
      <c r="U119" s="22">
        <v>0</v>
      </c>
      <c r="V119" s="22">
        <v>0</v>
      </c>
    </row>
    <row r="120" spans="1:22" x14ac:dyDescent="0.25">
      <c r="A120" s="23" t="s">
        <v>79</v>
      </c>
      <c r="B120" s="23" t="s">
        <v>39</v>
      </c>
      <c r="C120" s="24">
        <f>SUM(C117:C119)</f>
      </c>
      <c r="D120" s="24">
        <f>SUM(D117:D119)</f>
      </c>
      <c r="E120" s="24">
        <f>SUM(E117:E119)</f>
      </c>
      <c r="F120" s="24">
        <f>SUM(F117:F119)</f>
      </c>
      <c r="G120" s="24">
        <f>SUM(G117:G119)</f>
      </c>
      <c r="H120" s="24">
        <f>SUM(H117:H119)</f>
      </c>
      <c r="I120" s="24">
        <f>SUM(I117:I119)</f>
      </c>
      <c r="J120" s="24">
        <f>SUM(J117:J119)</f>
      </c>
      <c r="K120" s="24">
        <f>SUM(K117:K119)</f>
      </c>
      <c r="L120" s="24">
        <f>SUM(L117:L119)</f>
      </c>
      <c r="M120" s="24">
        <f>SUM(M117:M119)</f>
      </c>
      <c r="N120" s="24">
        <f>SUM(N117:N119)</f>
      </c>
      <c r="O120" s="24">
        <f>SUM(O117:O119)</f>
      </c>
      <c r="P120" s="24">
        <f>SUM(P117:P119)</f>
      </c>
      <c r="Q120" s="24">
        <f>SUM(Q117:Q119)</f>
      </c>
      <c r="R120" s="24">
        <f>SUM(R117:R119)</f>
      </c>
      <c r="S120" s="24">
        <f>SUM(S117:S119)</f>
      </c>
      <c r="T120" s="24">
        <f>SUM(T117:T119)</f>
      </c>
      <c r="U120" s="24">
        <f>SUM(U117:U119)</f>
      </c>
      <c r="V120" s="24">
        <f>SUM(V117:V119)</f>
      </c>
    </row>
    <row r="121" spans="1:22" x14ac:dyDescent="0.25">
      <c r="A121" s="20" t="s">
        <v>40</v>
      </c>
      <c r="B121" s="20" t="s">
        <v>88</v>
      </c>
      <c r="C121" s="21">
        <f>SUM(E121,G121,I121,K121,M121,O121,Q121,S121,U121)</f>
      </c>
      <c r="D121" s="21">
        <f>SUM(F121,H121,J121,L121,N121,P121,R121,T121,V121)</f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  <c r="J121" s="22">
        <v>0</v>
      </c>
      <c r="K121" s="22">
        <v>0</v>
      </c>
      <c r="L121" s="22">
        <v>0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  <c r="R121" s="22">
        <v>0</v>
      </c>
      <c r="S121" s="22">
        <v>0</v>
      </c>
      <c r="T121" s="22">
        <v>0</v>
      </c>
      <c r="U121" s="22">
        <v>0</v>
      </c>
      <c r="V121" s="22">
        <v>0</v>
      </c>
    </row>
    <row r="122" spans="1:22" x14ac:dyDescent="0.25">
      <c r="A122" s="20"/>
      <c r="B122" s="20" t="s">
        <v>89</v>
      </c>
      <c r="C122" s="21">
        <f>SUM(E122,G122,I122,K122,M122,O122,Q122,S122,U122)</f>
      </c>
      <c r="D122" s="21">
        <f>SUM(F122,H122,J122,L122,N122,P122,R122,T122,V122)</f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22">
        <v>0</v>
      </c>
      <c r="P122" s="22">
        <v>0</v>
      </c>
      <c r="Q122" s="22">
        <v>0</v>
      </c>
      <c r="R122" s="22">
        <v>0</v>
      </c>
      <c r="S122" s="22">
        <v>0</v>
      </c>
      <c r="T122" s="22">
        <v>0</v>
      </c>
      <c r="U122" s="22">
        <v>0</v>
      </c>
      <c r="V122" s="22">
        <v>0</v>
      </c>
    </row>
    <row r="123" spans="1:22" x14ac:dyDescent="0.25">
      <c r="A123" s="20"/>
      <c r="B123" s="20" t="s">
        <v>90</v>
      </c>
      <c r="C123" s="21">
        <f>SUM(E123,G123,I123,K123,M123,O123,Q123,S123,U123)</f>
      </c>
      <c r="D123" s="21">
        <f>SUM(F123,H123,J123,L123,N123,P123,R123,T123,V123)</f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v>0</v>
      </c>
      <c r="M123" s="22">
        <v>0</v>
      </c>
      <c r="N123" s="22">
        <v>0</v>
      </c>
      <c r="O123" s="22">
        <v>0</v>
      </c>
      <c r="P123" s="22">
        <v>0</v>
      </c>
      <c r="Q123" s="22">
        <v>0</v>
      </c>
      <c r="R123" s="22">
        <v>0</v>
      </c>
      <c r="S123" s="22">
        <v>0</v>
      </c>
      <c r="T123" s="22">
        <v>0</v>
      </c>
      <c r="U123" s="22">
        <v>0</v>
      </c>
      <c r="V123" s="22">
        <v>0</v>
      </c>
    </row>
    <row r="124" spans="1:22" x14ac:dyDescent="0.25">
      <c r="A124" s="23" t="s">
        <v>79</v>
      </c>
      <c r="B124" s="23" t="s">
        <v>40</v>
      </c>
      <c r="C124" s="24">
        <f>SUM(C121:C123)</f>
      </c>
      <c r="D124" s="24">
        <f>SUM(D121:D123)</f>
      </c>
      <c r="E124" s="24">
        <f>SUM(E121:E123)</f>
      </c>
      <c r="F124" s="24">
        <f>SUM(F121:F123)</f>
      </c>
      <c r="G124" s="24">
        <f>SUM(G121:G123)</f>
      </c>
      <c r="H124" s="24">
        <f>SUM(H121:H123)</f>
      </c>
      <c r="I124" s="24">
        <f>SUM(I121:I123)</f>
      </c>
      <c r="J124" s="24">
        <f>SUM(J121:J123)</f>
      </c>
      <c r="K124" s="24">
        <f>SUM(K121:K123)</f>
      </c>
      <c r="L124" s="24">
        <f>SUM(L121:L123)</f>
      </c>
      <c r="M124" s="24">
        <f>SUM(M121:M123)</f>
      </c>
      <c r="N124" s="24">
        <f>SUM(N121:N123)</f>
      </c>
      <c r="O124" s="24">
        <f>SUM(O121:O123)</f>
      </c>
      <c r="P124" s="24">
        <f>SUM(P121:P123)</f>
      </c>
      <c r="Q124" s="24">
        <f>SUM(Q121:Q123)</f>
      </c>
      <c r="R124" s="24">
        <f>SUM(R121:R123)</f>
      </c>
      <c r="S124" s="24">
        <f>SUM(S121:S123)</f>
      </c>
      <c r="T124" s="24">
        <f>SUM(T121:T123)</f>
      </c>
      <c r="U124" s="24">
        <f>SUM(U121:U123)</f>
      </c>
      <c r="V124" s="24">
        <f>SUM(V121:V123)</f>
      </c>
    </row>
    <row r="125" spans="1:22" x14ac:dyDescent="0.25">
      <c r="A125" s="23" t="s">
        <v>91</v>
      </c>
      <c r="B125" s="23" t="s">
        <v>88</v>
      </c>
      <c r="C125" s="24">
        <f>SUM(C113,C117,C121)</f>
      </c>
      <c r="D125" s="24">
        <f>SUM(D113,D117,D121)</f>
      </c>
      <c r="E125" s="24">
        <f>SUM(E113,E117,E121)</f>
      </c>
      <c r="F125" s="24">
        <f>SUM(F113,F117,F121)</f>
      </c>
      <c r="G125" s="24">
        <f>SUM(G113,G117,G121)</f>
      </c>
      <c r="H125" s="24">
        <f>SUM(H113,H117,H121)</f>
      </c>
      <c r="I125" s="24">
        <f>SUM(I113,I117,I121)</f>
      </c>
      <c r="J125" s="24">
        <f>SUM(J113,J117,J121)</f>
      </c>
      <c r="K125" s="24">
        <f>SUM(K113,K117,K121)</f>
      </c>
      <c r="L125" s="24">
        <f>SUM(L113,L117,L121)</f>
      </c>
      <c r="M125" s="24">
        <f>SUM(M113,M117,M121)</f>
      </c>
      <c r="N125" s="24">
        <f>SUM(N113,N117,N121)</f>
      </c>
      <c r="O125" s="24">
        <f>SUM(O113,O117,O121)</f>
      </c>
      <c r="P125" s="24">
        <f>SUM(P113,P117,P121)</f>
      </c>
      <c r="Q125" s="24">
        <f>SUM(Q113,Q117,Q121)</f>
      </c>
      <c r="R125" s="24">
        <f>SUM(R113,R117,R121)</f>
      </c>
      <c r="S125" s="24">
        <f>SUM(S113,S117,S121)</f>
      </c>
      <c r="T125" s="24">
        <f>SUM(T113,T117,T121)</f>
      </c>
      <c r="U125" s="24">
        <f>SUM(U113,U117,U121)</f>
      </c>
      <c r="V125" s="24">
        <f>SUM(V113,V117,V121)</f>
      </c>
    </row>
    <row r="126" spans="1:22" x14ac:dyDescent="0.25">
      <c r="A126" s="23" t="s">
        <v>91</v>
      </c>
      <c r="B126" s="23" t="s">
        <v>89</v>
      </c>
      <c r="C126" s="24">
        <f>SUM(C114,C118,C122)</f>
      </c>
      <c r="D126" s="24">
        <f>SUM(D114,D118,D122)</f>
      </c>
      <c r="E126" s="24">
        <f>SUM(E114,E118,E122)</f>
      </c>
      <c r="F126" s="24">
        <f>SUM(F114,F118,F122)</f>
      </c>
      <c r="G126" s="24">
        <f>SUM(G114,G118,G122)</f>
      </c>
      <c r="H126" s="24">
        <f>SUM(H114,H118,H122)</f>
      </c>
      <c r="I126" s="24">
        <f>SUM(I114,I118,I122)</f>
      </c>
      <c r="J126" s="24">
        <f>SUM(J114,J118,J122)</f>
      </c>
      <c r="K126" s="24">
        <f>SUM(K114,K118,K122)</f>
      </c>
      <c r="L126" s="24">
        <f>SUM(L114,L118,L122)</f>
      </c>
      <c r="M126" s="24">
        <f>SUM(M114,M118,M122)</f>
      </c>
      <c r="N126" s="24">
        <f>SUM(N114,N118,N122)</f>
      </c>
      <c r="O126" s="24">
        <f>SUM(O114,O118,O122)</f>
      </c>
      <c r="P126" s="24">
        <f>SUM(P114,P118,P122)</f>
      </c>
      <c r="Q126" s="24">
        <f>SUM(Q114,Q118,Q122)</f>
      </c>
      <c r="R126" s="24">
        <f>SUM(R114,R118,R122)</f>
      </c>
      <c r="S126" s="24">
        <f>SUM(S114,S118,S122)</f>
      </c>
      <c r="T126" s="24">
        <f>SUM(T114,T118,T122)</f>
      </c>
      <c r="U126" s="24">
        <f>SUM(U114,U118,U122)</f>
      </c>
      <c r="V126" s="24">
        <f>SUM(V114,V118,V122)</f>
      </c>
    </row>
    <row r="127" spans="1:22" x14ac:dyDescent="0.25">
      <c r="A127" s="23" t="s">
        <v>91</v>
      </c>
      <c r="B127" s="23" t="s">
        <v>90</v>
      </c>
      <c r="C127" s="24">
        <f>SUM(C115,C119,C123)</f>
      </c>
      <c r="D127" s="24">
        <f>SUM(D115,D119,D123)</f>
      </c>
      <c r="E127" s="24">
        <f>SUM(E115,E119,E123)</f>
      </c>
      <c r="F127" s="24">
        <f>SUM(F115,F119,F123)</f>
      </c>
      <c r="G127" s="24">
        <f>SUM(G115,G119,G123)</f>
      </c>
      <c r="H127" s="24">
        <f>SUM(H115,H119,H123)</f>
      </c>
      <c r="I127" s="24">
        <f>SUM(I115,I119,I123)</f>
      </c>
      <c r="J127" s="24">
        <f>SUM(J115,J119,J123)</f>
      </c>
      <c r="K127" s="24">
        <f>SUM(K115,K119,K123)</f>
      </c>
      <c r="L127" s="24">
        <f>SUM(L115,L119,L123)</f>
      </c>
      <c r="M127" s="24">
        <f>SUM(M115,M119,M123)</f>
      </c>
      <c r="N127" s="24">
        <f>SUM(N115,N119,N123)</f>
      </c>
      <c r="O127" s="24">
        <f>SUM(O115,O119,O123)</f>
      </c>
      <c r="P127" s="24">
        <f>SUM(P115,P119,P123)</f>
      </c>
      <c r="Q127" s="24">
        <f>SUM(Q115,Q119,Q123)</f>
      </c>
      <c r="R127" s="24">
        <f>SUM(R115,R119,R123)</f>
      </c>
      <c r="S127" s="24">
        <f>SUM(S115,S119,S123)</f>
      </c>
      <c r="T127" s="24">
        <f>SUM(T115,T119,T123)</f>
      </c>
      <c r="U127" s="24">
        <f>SUM(U115,U119,U123)</f>
      </c>
      <c r="V127" s="24">
        <f>SUM(V115,V119,V123)</f>
      </c>
    </row>
    <row r="128" spans="1:22" x14ac:dyDescent="0.25">
      <c r="A128" s="23" t="s">
        <v>46</v>
      </c>
      <c r="B128" s="23" t="s">
        <v>92</v>
      </c>
      <c r="C128" s="24">
        <f>SUM(C116,C120,C124)</f>
      </c>
      <c r="D128" s="24">
        <f>SUM(D116,D120,D124)</f>
      </c>
      <c r="E128" s="24">
        <f>SUM(E116,E120,E124)</f>
      </c>
      <c r="F128" s="24">
        <f>SUM(F116,F120,F124)</f>
      </c>
      <c r="G128" s="24">
        <f>SUM(G116,G120,G124)</f>
      </c>
      <c r="H128" s="24">
        <f>SUM(H116,H120,H124)</f>
      </c>
      <c r="I128" s="24">
        <f>SUM(I116,I120,I124)</f>
      </c>
      <c r="J128" s="24">
        <f>SUM(J116,J120,J124)</f>
      </c>
      <c r="K128" s="24">
        <f>SUM(K116,K120,K124)</f>
      </c>
      <c r="L128" s="24">
        <f>SUM(L116,L120,L124)</f>
      </c>
      <c r="M128" s="24">
        <f>SUM(M116,M120,M124)</f>
      </c>
      <c r="N128" s="24">
        <f>SUM(N116,N120,N124)</f>
      </c>
      <c r="O128" s="24">
        <f>SUM(O116,O120,O124)</f>
      </c>
      <c r="P128" s="24">
        <f>SUM(P116,P120,P124)</f>
      </c>
      <c r="Q128" s="24">
        <f>SUM(Q116,Q120,Q124)</f>
      </c>
      <c r="R128" s="24">
        <f>SUM(R116,R120,R124)</f>
      </c>
      <c r="S128" s="24">
        <f>SUM(S116,S120,S124)</f>
      </c>
      <c r="T128" s="24">
        <f>SUM(T116,T120,T124)</f>
      </c>
      <c r="U128" s="24">
        <f>SUM(U116,U120,U124)</f>
      </c>
      <c r="V128" s="24">
        <f>SUM(V116,V120,V124)</f>
      </c>
    </row>
    <row r="132" spans="1:1" x14ac:dyDescent="0.25">
      <c r="A132" s="18" t="s">
        <v>93</v>
      </c>
    </row>
    <row r="134" spans="1:24" x14ac:dyDescent="0.25">
      <c r="A134" s="19" t="s">
        <v>84</v>
      </c>
      <c r="B134" s="19" t="s">
        <v>94</v>
      </c>
      <c r="C134" s="19" t="s">
        <v>17</v>
      </c>
      <c r="D134" s="19"/>
      <c r="E134" s="19" t="s">
        <v>95</v>
      </c>
      <c r="F134" s="19"/>
      <c r="G134" s="19" t="s">
        <v>96</v>
      </c>
      <c r="H134" s="19"/>
      <c r="I134" s="19" t="s">
        <v>97</v>
      </c>
      <c r="J134" s="19"/>
      <c r="K134" s="19" t="s">
        <v>98</v>
      </c>
      <c r="L134" s="19"/>
      <c r="M134" s="19" t="s">
        <v>99</v>
      </c>
      <c r="N134" s="19"/>
      <c r="O134" s="19" t="s">
        <v>100</v>
      </c>
      <c r="P134" s="19"/>
      <c r="Q134" s="19" t="s">
        <v>101</v>
      </c>
      <c r="R134" s="19"/>
      <c r="S134" s="19" t="s">
        <v>102</v>
      </c>
      <c r="T134" s="19"/>
      <c r="U134" s="19" t="s">
        <v>103</v>
      </c>
      <c r="V134" s="19"/>
      <c r="W134" s="19" t="s">
        <v>104</v>
      </c>
      <c r="X134" s="19"/>
    </row>
    <row r="135" spans="1:24" x14ac:dyDescent="0.25">
      <c r="A135" s="19"/>
      <c r="B135" s="19"/>
      <c r="C135" s="19" t="s">
        <v>33</v>
      </c>
      <c r="D135" s="19" t="s">
        <v>34</v>
      </c>
      <c r="E135" s="19" t="s">
        <v>35</v>
      </c>
      <c r="F135" s="19" t="s">
        <v>36</v>
      </c>
      <c r="G135" s="19" t="s">
        <v>35</v>
      </c>
      <c r="H135" s="19" t="s">
        <v>36</v>
      </c>
      <c r="I135" s="19" t="s">
        <v>35</v>
      </c>
      <c r="J135" s="19" t="s">
        <v>36</v>
      </c>
      <c r="K135" s="19" t="s">
        <v>35</v>
      </c>
      <c r="L135" s="19" t="s">
        <v>36</v>
      </c>
      <c r="M135" s="19" t="s">
        <v>35</v>
      </c>
      <c r="N135" s="19" t="s">
        <v>36</v>
      </c>
      <c r="O135" s="19" t="s">
        <v>35</v>
      </c>
      <c r="P135" s="19" t="s">
        <v>36</v>
      </c>
      <c r="Q135" s="19" t="s">
        <v>35</v>
      </c>
      <c r="R135" s="19" t="s">
        <v>36</v>
      </c>
      <c r="S135" s="19" t="s">
        <v>35</v>
      </c>
      <c r="T135" s="19" t="s">
        <v>36</v>
      </c>
      <c r="U135" s="19" t="s">
        <v>35</v>
      </c>
      <c r="V135" s="19" t="s">
        <v>36</v>
      </c>
      <c r="W135" s="19" t="s">
        <v>35</v>
      </c>
      <c r="X135" s="19" t="s">
        <v>36</v>
      </c>
    </row>
    <row r="137" spans="1:24" x14ac:dyDescent="0.25">
      <c r="A137" s="20" t="s">
        <v>38</v>
      </c>
      <c r="B137" s="20" t="s">
        <v>105</v>
      </c>
      <c r="C137" s="21">
        <f>SUM(E137,G137,I137,K137,M137,O137,Q137,S137,U137,W137)</f>
      </c>
      <c r="D137" s="21">
        <f>SUM(F137,H137,J137,L137,N137,P137,R137,T137,V137,X137)</f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2">
        <v>0</v>
      </c>
      <c r="M137" s="22">
        <v>0</v>
      </c>
      <c r="N137" s="22">
        <v>0</v>
      </c>
      <c r="O137" s="22">
        <v>0</v>
      </c>
      <c r="P137" s="22">
        <v>0</v>
      </c>
      <c r="Q137" s="22">
        <v>0</v>
      </c>
      <c r="R137" s="22">
        <v>0</v>
      </c>
      <c r="S137" s="22">
        <v>0</v>
      </c>
      <c r="T137" s="22">
        <v>0</v>
      </c>
      <c r="U137" s="22">
        <v>0</v>
      </c>
      <c r="V137" s="22">
        <v>0</v>
      </c>
      <c r="W137" s="22">
        <v>0</v>
      </c>
      <c r="X137" s="22">
        <v>0</v>
      </c>
    </row>
    <row r="138" spans="1:24" x14ac:dyDescent="0.25">
      <c r="A138" s="20"/>
      <c r="B138" s="20" t="s">
        <v>106</v>
      </c>
      <c r="C138" s="21">
        <f>SUM(E138,G138,I138,K138,M138,O138,Q138,S138,U138,W138)</f>
      </c>
      <c r="D138" s="21">
        <f>SUM(F138,H138,J138,L138,N138,P138,R138,T138,V138,X138)</f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2">
        <v>0</v>
      </c>
      <c r="M138" s="22">
        <v>0</v>
      </c>
      <c r="N138" s="22">
        <v>0</v>
      </c>
      <c r="O138" s="22">
        <v>0</v>
      </c>
      <c r="P138" s="22">
        <v>0</v>
      </c>
      <c r="Q138" s="22">
        <v>0</v>
      </c>
      <c r="R138" s="22">
        <v>0</v>
      </c>
      <c r="S138" s="22">
        <v>0</v>
      </c>
      <c r="T138" s="22">
        <v>0</v>
      </c>
      <c r="U138" s="22">
        <v>0</v>
      </c>
      <c r="V138" s="22">
        <v>0</v>
      </c>
      <c r="W138" s="22">
        <v>0</v>
      </c>
      <c r="X138" s="22">
        <v>0</v>
      </c>
    </row>
    <row r="139" spans="1:24" x14ac:dyDescent="0.25">
      <c r="A139" s="20"/>
      <c r="B139" s="20" t="s">
        <v>107</v>
      </c>
      <c r="C139" s="21">
        <f>SUM(E139,G139,I139,K139,M139,O139,Q139,S139,U139,W139)</f>
      </c>
      <c r="D139" s="21">
        <f>SUM(F139,H139,J139,L139,N139,P139,R139,T139,V139,X139)</f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  <c r="J139" s="22">
        <v>0</v>
      </c>
      <c r="K139" s="22">
        <v>0</v>
      </c>
      <c r="L139" s="22">
        <v>0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  <c r="R139" s="22">
        <v>0</v>
      </c>
      <c r="S139" s="22">
        <v>0</v>
      </c>
      <c r="T139" s="22">
        <v>0</v>
      </c>
      <c r="U139" s="22">
        <v>0</v>
      </c>
      <c r="V139" s="22">
        <v>0</v>
      </c>
      <c r="W139" s="22">
        <v>0</v>
      </c>
      <c r="X139" s="22">
        <v>0</v>
      </c>
    </row>
    <row r="140" spans="1:24" x14ac:dyDescent="0.25">
      <c r="A140" s="23" t="s">
        <v>79</v>
      </c>
      <c r="B140" s="23" t="s">
        <v>38</v>
      </c>
      <c r="C140" s="24">
        <f>SUM(C137:C139)</f>
      </c>
      <c r="D140" s="24">
        <f>SUM(D137:D139)</f>
      </c>
      <c r="E140" s="24">
        <f>SUM(E137:E139)</f>
      </c>
      <c r="F140" s="24">
        <f>SUM(F137:F139)</f>
      </c>
      <c r="G140" s="24">
        <f>SUM(G137:G139)</f>
      </c>
      <c r="H140" s="24">
        <f>SUM(H137:H139)</f>
      </c>
      <c r="I140" s="24">
        <f>SUM(I137:I139)</f>
      </c>
      <c r="J140" s="24">
        <f>SUM(J137:J139)</f>
      </c>
      <c r="K140" s="24">
        <f>SUM(K137:K139)</f>
      </c>
      <c r="L140" s="24">
        <f>SUM(L137:L139)</f>
      </c>
      <c r="M140" s="24">
        <f>SUM(M137:M139)</f>
      </c>
      <c r="N140" s="24">
        <f>SUM(N137:N139)</f>
      </c>
      <c r="O140" s="24">
        <f>SUM(O137:O139)</f>
      </c>
      <c r="P140" s="24">
        <f>SUM(P137:P139)</f>
      </c>
      <c r="Q140" s="24">
        <f>SUM(Q137:Q139)</f>
      </c>
      <c r="R140" s="24">
        <f>SUM(R137:R139)</f>
      </c>
      <c r="S140" s="24">
        <f>SUM(S137:S139)</f>
      </c>
      <c r="T140" s="24">
        <f>SUM(T137:T139)</f>
      </c>
      <c r="U140" s="24">
        <f>SUM(U137:U139)</f>
      </c>
      <c r="V140" s="24">
        <f>SUM(V137:V139)</f>
      </c>
      <c r="W140" s="24">
        <f>SUM(W137:W139)</f>
      </c>
      <c r="X140" s="24">
        <f>SUM(X137:X139)</f>
      </c>
    </row>
    <row r="141" spans="1:24" x14ac:dyDescent="0.25">
      <c r="A141" s="20" t="s">
        <v>39</v>
      </c>
      <c r="B141" s="20" t="s">
        <v>105</v>
      </c>
      <c r="C141" s="21">
        <f>SUM(E141,G141,I141,K141,M141,O141,Q141,S141,U141,W141)</f>
      </c>
      <c r="D141" s="21">
        <f>SUM(F141,H141,J141,L141,N141,P141,R141,T141,V141,X141)</f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0</v>
      </c>
      <c r="N141" s="22">
        <v>0</v>
      </c>
      <c r="O141" s="22">
        <v>0</v>
      </c>
      <c r="P141" s="22">
        <v>0</v>
      </c>
      <c r="Q141" s="22">
        <v>0</v>
      </c>
      <c r="R141" s="22">
        <v>0</v>
      </c>
      <c r="S141" s="22">
        <v>0</v>
      </c>
      <c r="T141" s="22">
        <v>0</v>
      </c>
      <c r="U141" s="22">
        <v>0</v>
      </c>
      <c r="V141" s="22">
        <v>0</v>
      </c>
      <c r="W141" s="22">
        <v>0</v>
      </c>
      <c r="X141" s="22">
        <v>0</v>
      </c>
    </row>
    <row r="142" spans="1:24" x14ac:dyDescent="0.25">
      <c r="A142" s="20"/>
      <c r="B142" s="20" t="s">
        <v>106</v>
      </c>
      <c r="C142" s="21">
        <f>SUM(E142,G142,I142,K142,M142,O142,Q142,S142,U142,W142)</f>
      </c>
      <c r="D142" s="21">
        <f>SUM(F142,H142,J142,L142,N142,P142,R142,T142,V142,X142)</f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2">
        <v>0</v>
      </c>
      <c r="O142" s="22">
        <v>0</v>
      </c>
      <c r="P142" s="22">
        <v>0</v>
      </c>
      <c r="Q142" s="22">
        <v>0</v>
      </c>
      <c r="R142" s="22">
        <v>0</v>
      </c>
      <c r="S142" s="22">
        <v>0</v>
      </c>
      <c r="T142" s="22">
        <v>0</v>
      </c>
      <c r="U142" s="22">
        <v>0</v>
      </c>
      <c r="V142" s="22">
        <v>0</v>
      </c>
      <c r="W142" s="22">
        <v>0</v>
      </c>
      <c r="X142" s="22">
        <v>0</v>
      </c>
    </row>
    <row r="143" spans="1:24" x14ac:dyDescent="0.25">
      <c r="A143" s="20"/>
      <c r="B143" s="20" t="s">
        <v>107</v>
      </c>
      <c r="C143" s="21">
        <f>SUM(E143,G143,I143,K143,M143,O143,Q143,S143,U143,W143)</f>
      </c>
      <c r="D143" s="21">
        <f>SUM(F143,H143,J143,L143,N143,P143,R143,T143,V143,X143)</f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0</v>
      </c>
      <c r="P143" s="22">
        <v>0</v>
      </c>
      <c r="Q143" s="22">
        <v>0</v>
      </c>
      <c r="R143" s="22">
        <v>0</v>
      </c>
      <c r="S143" s="22">
        <v>0</v>
      </c>
      <c r="T143" s="22">
        <v>0</v>
      </c>
      <c r="U143" s="22">
        <v>0</v>
      </c>
      <c r="V143" s="22">
        <v>0</v>
      </c>
      <c r="W143" s="22">
        <v>0</v>
      </c>
      <c r="X143" s="22">
        <v>0</v>
      </c>
    </row>
    <row r="144" spans="1:24" x14ac:dyDescent="0.25">
      <c r="A144" s="23" t="s">
        <v>79</v>
      </c>
      <c r="B144" s="23" t="s">
        <v>39</v>
      </c>
      <c r="C144" s="24">
        <f>SUM(C141:C143)</f>
      </c>
      <c r="D144" s="24">
        <f>SUM(D141:D143)</f>
      </c>
      <c r="E144" s="24">
        <f>SUM(E141:E143)</f>
      </c>
      <c r="F144" s="24">
        <f>SUM(F141:F143)</f>
      </c>
      <c r="G144" s="24">
        <f>SUM(G141:G143)</f>
      </c>
      <c r="H144" s="24">
        <f>SUM(H141:H143)</f>
      </c>
      <c r="I144" s="24">
        <f>SUM(I141:I143)</f>
      </c>
      <c r="J144" s="24">
        <f>SUM(J141:J143)</f>
      </c>
      <c r="K144" s="24">
        <f>SUM(K141:K143)</f>
      </c>
      <c r="L144" s="24">
        <f>SUM(L141:L143)</f>
      </c>
      <c r="M144" s="24">
        <f>SUM(M141:M143)</f>
      </c>
      <c r="N144" s="24">
        <f>SUM(N141:N143)</f>
      </c>
      <c r="O144" s="24">
        <f>SUM(O141:O143)</f>
      </c>
      <c r="P144" s="24">
        <f>SUM(P141:P143)</f>
      </c>
      <c r="Q144" s="24">
        <f>SUM(Q141:Q143)</f>
      </c>
      <c r="R144" s="24">
        <f>SUM(R141:R143)</f>
      </c>
      <c r="S144" s="24">
        <f>SUM(S141:S143)</f>
      </c>
      <c r="T144" s="24">
        <f>SUM(T141:T143)</f>
      </c>
      <c r="U144" s="24">
        <f>SUM(U141:U143)</f>
      </c>
      <c r="V144" s="24">
        <f>SUM(V141:V143)</f>
      </c>
      <c r="W144" s="24">
        <f>SUM(W141:W143)</f>
      </c>
      <c r="X144" s="24">
        <f>SUM(X141:X143)</f>
      </c>
    </row>
    <row r="145" spans="1:24" x14ac:dyDescent="0.25">
      <c r="A145" s="20" t="s">
        <v>40</v>
      </c>
      <c r="B145" s="20" t="s">
        <v>105</v>
      </c>
      <c r="C145" s="21">
        <f>SUM(E145,G145,I145,K145,M145,O145,Q145,S145,U145,W145)</f>
      </c>
      <c r="D145" s="21">
        <f>SUM(F145,H145,J145,L145,N145,P145,R145,T145,V145,X145)</f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  <c r="J145" s="22">
        <v>0</v>
      </c>
      <c r="K145" s="22">
        <v>0</v>
      </c>
      <c r="L145" s="22">
        <v>0</v>
      </c>
      <c r="M145" s="22">
        <v>0</v>
      </c>
      <c r="N145" s="22">
        <v>0</v>
      </c>
      <c r="O145" s="22">
        <v>0</v>
      </c>
      <c r="P145" s="22">
        <v>0</v>
      </c>
      <c r="Q145" s="22">
        <v>0</v>
      </c>
      <c r="R145" s="22">
        <v>0</v>
      </c>
      <c r="S145" s="22">
        <v>0</v>
      </c>
      <c r="T145" s="22">
        <v>0</v>
      </c>
      <c r="U145" s="22">
        <v>0</v>
      </c>
      <c r="V145" s="22">
        <v>0</v>
      </c>
      <c r="W145" s="22">
        <v>0</v>
      </c>
      <c r="X145" s="22">
        <v>0</v>
      </c>
    </row>
    <row r="146" spans="1:24" x14ac:dyDescent="0.25">
      <c r="A146" s="20"/>
      <c r="B146" s="20" t="s">
        <v>106</v>
      </c>
      <c r="C146" s="21">
        <f>SUM(E146,G146,I146,K146,M146,O146,Q146,S146,U146,W146)</f>
      </c>
      <c r="D146" s="21">
        <f>SUM(F146,H146,J146,L146,N146,P146,R146,T146,V146,X146)</f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  <c r="J146" s="22">
        <v>0</v>
      </c>
      <c r="K146" s="22">
        <v>0</v>
      </c>
      <c r="L146" s="22">
        <v>0</v>
      </c>
      <c r="M146" s="22">
        <v>0</v>
      </c>
      <c r="N146" s="22">
        <v>0</v>
      </c>
      <c r="O146" s="22">
        <v>0</v>
      </c>
      <c r="P146" s="22">
        <v>0</v>
      </c>
      <c r="Q146" s="22">
        <v>0</v>
      </c>
      <c r="R146" s="22">
        <v>0</v>
      </c>
      <c r="S146" s="22">
        <v>0</v>
      </c>
      <c r="T146" s="22">
        <v>0</v>
      </c>
      <c r="U146" s="22">
        <v>0</v>
      </c>
      <c r="V146" s="22">
        <v>0</v>
      </c>
      <c r="W146" s="22">
        <v>0</v>
      </c>
      <c r="X146" s="22">
        <v>0</v>
      </c>
    </row>
    <row r="147" spans="1:24" x14ac:dyDescent="0.25">
      <c r="A147" s="20"/>
      <c r="B147" s="20" t="s">
        <v>107</v>
      </c>
      <c r="C147" s="21">
        <f>SUM(E147,G147,I147,K147,M147,O147,Q147,S147,U147,W147)</f>
      </c>
      <c r="D147" s="21">
        <f>SUM(F147,H147,J147,L147,N147,P147,R147,T147,V147,X147)</f>
      </c>
      <c r="E147" s="22">
        <v>0</v>
      </c>
      <c r="F147" s="22">
        <v>0</v>
      </c>
      <c r="G147" s="22">
        <v>0</v>
      </c>
      <c r="H147" s="22">
        <v>0</v>
      </c>
      <c r="I147" s="22">
        <v>0</v>
      </c>
      <c r="J147" s="22">
        <v>0</v>
      </c>
      <c r="K147" s="22">
        <v>0</v>
      </c>
      <c r="L147" s="22">
        <v>0</v>
      </c>
      <c r="M147" s="22">
        <v>0</v>
      </c>
      <c r="N147" s="22">
        <v>0</v>
      </c>
      <c r="O147" s="22">
        <v>0</v>
      </c>
      <c r="P147" s="22">
        <v>0</v>
      </c>
      <c r="Q147" s="22">
        <v>0</v>
      </c>
      <c r="R147" s="22">
        <v>0</v>
      </c>
      <c r="S147" s="22">
        <v>0</v>
      </c>
      <c r="T147" s="22">
        <v>0</v>
      </c>
      <c r="U147" s="22">
        <v>0</v>
      </c>
      <c r="V147" s="22">
        <v>0</v>
      </c>
      <c r="W147" s="22">
        <v>0</v>
      </c>
      <c r="X147" s="22">
        <v>0</v>
      </c>
    </row>
    <row r="148" spans="1:24" x14ac:dyDescent="0.25">
      <c r="A148" s="23" t="s">
        <v>79</v>
      </c>
      <c r="B148" s="23" t="s">
        <v>40</v>
      </c>
      <c r="C148" s="24">
        <f>SUM(C145:C147)</f>
      </c>
      <c r="D148" s="24">
        <f>SUM(D145:D147)</f>
      </c>
      <c r="E148" s="24">
        <f>SUM(E145:E147)</f>
      </c>
      <c r="F148" s="24">
        <f>SUM(F145:F147)</f>
      </c>
      <c r="G148" s="24">
        <f>SUM(G145:G147)</f>
      </c>
      <c r="H148" s="24">
        <f>SUM(H145:H147)</f>
      </c>
      <c r="I148" s="24">
        <f>SUM(I145:I147)</f>
      </c>
      <c r="J148" s="24">
        <f>SUM(J145:J147)</f>
      </c>
      <c r="K148" s="24">
        <f>SUM(K145:K147)</f>
      </c>
      <c r="L148" s="24">
        <f>SUM(L145:L147)</f>
      </c>
      <c r="M148" s="24">
        <f>SUM(M145:M147)</f>
      </c>
      <c r="N148" s="24">
        <f>SUM(N145:N147)</f>
      </c>
      <c r="O148" s="24">
        <f>SUM(O145:O147)</f>
      </c>
      <c r="P148" s="24">
        <f>SUM(P145:P147)</f>
      </c>
      <c r="Q148" s="24">
        <f>SUM(Q145:Q147)</f>
      </c>
      <c r="R148" s="24">
        <f>SUM(R145:R147)</f>
      </c>
      <c r="S148" s="24">
        <f>SUM(S145:S147)</f>
      </c>
      <c r="T148" s="24">
        <f>SUM(T145:T147)</f>
      </c>
      <c r="U148" s="24">
        <f>SUM(U145:U147)</f>
      </c>
      <c r="V148" s="24">
        <f>SUM(V145:V147)</f>
      </c>
      <c r="W148" s="24">
        <f>SUM(W145:W147)</f>
      </c>
      <c r="X148" s="24">
        <f>SUM(X145:X147)</f>
      </c>
    </row>
    <row r="149" spans="1:24" x14ac:dyDescent="0.25">
      <c r="A149" s="23" t="s">
        <v>108</v>
      </c>
      <c r="B149" s="23" t="s">
        <v>105</v>
      </c>
      <c r="C149" s="24">
        <f>SUM(C137,C141,C145)</f>
      </c>
      <c r="D149" s="24">
        <f>SUM(D137,D141,D145)</f>
      </c>
      <c r="E149" s="24">
        <f>SUM(E137,E141,E145)</f>
      </c>
      <c r="F149" s="24">
        <f>SUM(F137,F141,F145)</f>
      </c>
      <c r="G149" s="24">
        <f>SUM(G137,G141,G145)</f>
      </c>
      <c r="H149" s="24">
        <f>SUM(H137,H141,H145)</f>
      </c>
      <c r="I149" s="24">
        <f>SUM(I137,I141,I145)</f>
      </c>
      <c r="J149" s="24">
        <f>SUM(J137,J141,J145)</f>
      </c>
      <c r="K149" s="24">
        <f>SUM(K137,K141,K145)</f>
      </c>
      <c r="L149" s="24">
        <f>SUM(L137,L141,L145)</f>
      </c>
      <c r="M149" s="24">
        <f>SUM(M137,M141,M145)</f>
      </c>
      <c r="N149" s="24">
        <f>SUM(N137,N141,N145)</f>
      </c>
      <c r="O149" s="24">
        <f>SUM(O137,O141,O145)</f>
      </c>
      <c r="P149" s="24">
        <f>SUM(P137,P141,P145)</f>
      </c>
      <c r="Q149" s="24">
        <f>SUM(Q137,Q141,Q145)</f>
      </c>
      <c r="R149" s="24">
        <f>SUM(R137,R141,R145)</f>
      </c>
      <c r="S149" s="24">
        <f>SUM(S137,S141,S145)</f>
      </c>
      <c r="T149" s="24">
        <f>SUM(T137,T141,T145)</f>
      </c>
      <c r="U149" s="24">
        <f>SUM(U137,U141,U145)</f>
      </c>
      <c r="V149" s="24">
        <f>SUM(V137,V141,V145)</f>
      </c>
      <c r="W149" s="24">
        <f>SUM(W137,W141,W145)</f>
      </c>
      <c r="X149" s="24">
        <f>SUM(X137,X141,X145)</f>
      </c>
    </row>
    <row r="150" spans="1:24" x14ac:dyDescent="0.25">
      <c r="A150" s="23" t="s">
        <v>108</v>
      </c>
      <c r="B150" s="23" t="s">
        <v>106</v>
      </c>
      <c r="C150" s="24">
        <f>SUM(C138,C142,C146)</f>
      </c>
      <c r="D150" s="24">
        <f>SUM(D138,D142,D146)</f>
      </c>
      <c r="E150" s="24">
        <f>SUM(E138,E142,E146)</f>
      </c>
      <c r="F150" s="24">
        <f>SUM(F138,F142,F146)</f>
      </c>
      <c r="G150" s="24">
        <f>SUM(G138,G142,G146)</f>
      </c>
      <c r="H150" s="24">
        <f>SUM(H138,H142,H146)</f>
      </c>
      <c r="I150" s="24">
        <f>SUM(I138,I142,I146)</f>
      </c>
      <c r="J150" s="24">
        <f>SUM(J138,J142,J146)</f>
      </c>
      <c r="K150" s="24">
        <f>SUM(K138,K142,K146)</f>
      </c>
      <c r="L150" s="24">
        <f>SUM(L138,L142,L146)</f>
      </c>
      <c r="M150" s="24">
        <f>SUM(M138,M142,M146)</f>
      </c>
      <c r="N150" s="24">
        <f>SUM(N138,N142,N146)</f>
      </c>
      <c r="O150" s="24">
        <f>SUM(O138,O142,O146)</f>
      </c>
      <c r="P150" s="24">
        <f>SUM(P138,P142,P146)</f>
      </c>
      <c r="Q150" s="24">
        <f>SUM(Q138,Q142,Q146)</f>
      </c>
      <c r="R150" s="24">
        <f>SUM(R138,R142,R146)</f>
      </c>
      <c r="S150" s="24">
        <f>SUM(S138,S142,S146)</f>
      </c>
      <c r="T150" s="24">
        <f>SUM(T138,T142,T146)</f>
      </c>
      <c r="U150" s="24">
        <f>SUM(U138,U142,U146)</f>
      </c>
      <c r="V150" s="24">
        <f>SUM(V138,V142,V146)</f>
      </c>
      <c r="W150" s="24">
        <f>SUM(W138,W142,W146)</f>
      </c>
      <c r="X150" s="24">
        <f>SUM(X138,X142,X146)</f>
      </c>
    </row>
    <row r="151" spans="1:24" x14ac:dyDescent="0.25">
      <c r="A151" s="23" t="s">
        <v>108</v>
      </c>
      <c r="B151" s="23" t="s">
        <v>107</v>
      </c>
      <c r="C151" s="24">
        <f>SUM(C139,C143,C147)</f>
      </c>
      <c r="D151" s="24">
        <f>SUM(D139,D143,D147)</f>
      </c>
      <c r="E151" s="24">
        <f>SUM(E139,E143,E147)</f>
      </c>
      <c r="F151" s="24">
        <f>SUM(F139,F143,F147)</f>
      </c>
      <c r="G151" s="24">
        <f>SUM(G139,G143,G147)</f>
      </c>
      <c r="H151" s="24">
        <f>SUM(H139,H143,H147)</f>
      </c>
      <c r="I151" s="24">
        <f>SUM(I139,I143,I147)</f>
      </c>
      <c r="J151" s="24">
        <f>SUM(J139,J143,J147)</f>
      </c>
      <c r="K151" s="24">
        <f>SUM(K139,K143,K147)</f>
      </c>
      <c r="L151" s="24">
        <f>SUM(L139,L143,L147)</f>
      </c>
      <c r="M151" s="24">
        <f>SUM(M139,M143,M147)</f>
      </c>
      <c r="N151" s="24">
        <f>SUM(N139,N143,N147)</f>
      </c>
      <c r="O151" s="24">
        <f>SUM(O139,O143,O147)</f>
      </c>
      <c r="P151" s="24">
        <f>SUM(P139,P143,P147)</f>
      </c>
      <c r="Q151" s="24">
        <f>SUM(Q139,Q143,Q147)</f>
      </c>
      <c r="R151" s="24">
        <f>SUM(R139,R143,R147)</f>
      </c>
      <c r="S151" s="24">
        <f>SUM(S139,S143,S147)</f>
      </c>
      <c r="T151" s="24">
        <f>SUM(T139,T143,T147)</f>
      </c>
      <c r="U151" s="24">
        <f>SUM(U139,U143,U147)</f>
      </c>
      <c r="V151" s="24">
        <f>SUM(V139,V143,V147)</f>
      </c>
      <c r="W151" s="24">
        <f>SUM(W139,W143,W147)</f>
      </c>
      <c r="X151" s="24">
        <f>SUM(X139,X143,X147)</f>
      </c>
    </row>
    <row r="152" spans="1:24" x14ac:dyDescent="0.25">
      <c r="A152" s="23" t="s">
        <v>46</v>
      </c>
      <c r="B152" s="23" t="s">
        <v>109</v>
      </c>
      <c r="C152" s="24">
        <f>SUM(C140,C144,C148)</f>
      </c>
      <c r="D152" s="24">
        <f>SUM(D140,D144,D148)</f>
      </c>
      <c r="E152" s="24">
        <f>SUM(E140,E144,E148)</f>
      </c>
      <c r="F152" s="24">
        <f>SUM(F140,F144,F148)</f>
      </c>
      <c r="G152" s="24">
        <f>SUM(G140,G144,G148)</f>
      </c>
      <c r="H152" s="24">
        <f>SUM(H140,H144,H148)</f>
      </c>
      <c r="I152" s="24">
        <f>SUM(I140,I144,I148)</f>
      </c>
      <c r="J152" s="24">
        <f>SUM(J140,J144,J148)</f>
      </c>
      <c r="K152" s="24">
        <f>SUM(K140,K144,K148)</f>
      </c>
      <c r="L152" s="24">
        <f>SUM(L140,L144,L148)</f>
      </c>
      <c r="M152" s="24">
        <f>SUM(M140,M144,M148)</f>
      </c>
      <c r="N152" s="24">
        <f>SUM(N140,N144,N148)</f>
      </c>
      <c r="O152" s="24">
        <f>SUM(O140,O144,O148)</f>
      </c>
      <c r="P152" s="24">
        <f>SUM(P140,P144,P148)</f>
      </c>
      <c r="Q152" s="24">
        <f>SUM(Q140,Q144,Q148)</f>
      </c>
      <c r="R152" s="24">
        <f>SUM(R140,R144,R148)</f>
      </c>
      <c r="S152" s="24">
        <f>SUM(S140,S144,S148)</f>
      </c>
      <c r="T152" s="24">
        <f>SUM(T140,T144,T148)</f>
      </c>
      <c r="U152" s="24">
        <f>SUM(U140,U144,U148)</f>
      </c>
      <c r="V152" s="24">
        <f>SUM(V140,V144,V148)</f>
      </c>
      <c r="W152" s="24">
        <f>SUM(W140,W144,W148)</f>
      </c>
      <c r="X152" s="24">
        <f>SUM(X140,X144,X148)</f>
      </c>
    </row>
    <row r="156" spans="1:1" x14ac:dyDescent="0.25">
      <c r="A156" s="17" t="s">
        <v>110</v>
      </c>
    </row>
    <row r="157" spans="1:1" x14ac:dyDescent="0.25">
      <c r="A157" s="18" t="s">
        <v>111</v>
      </c>
    </row>
    <row r="159" spans="1:20" x14ac:dyDescent="0.25">
      <c r="A159" s="19" t="s">
        <v>84</v>
      </c>
      <c r="B159" s="19" t="s">
        <v>49</v>
      </c>
      <c r="C159" s="19" t="s">
        <v>17</v>
      </c>
      <c r="D159" s="19"/>
      <c r="E159" s="19" t="s">
        <v>55</v>
      </c>
      <c r="F159" s="19"/>
      <c r="G159" s="19" t="s">
        <v>56</v>
      </c>
      <c r="H159" s="19"/>
      <c r="I159" s="19" t="s">
        <v>86</v>
      </c>
      <c r="J159" s="19"/>
      <c r="K159" s="19" t="s">
        <v>112</v>
      </c>
      <c r="L159" s="19"/>
      <c r="M159" s="19" t="s">
        <v>96</v>
      </c>
      <c r="N159" s="19"/>
      <c r="O159" s="19" t="s">
        <v>97</v>
      </c>
      <c r="P159" s="19"/>
      <c r="Q159" s="19" t="s">
        <v>98</v>
      </c>
      <c r="R159" s="19"/>
      <c r="S159" s="19" t="s">
        <v>113</v>
      </c>
      <c r="T159" s="19"/>
    </row>
    <row r="160" spans="1:20" x14ac:dyDescent="0.25">
      <c r="A160" s="19"/>
      <c r="B160" s="19"/>
      <c r="C160" s="19" t="s">
        <v>33</v>
      </c>
      <c r="D160" s="19" t="s">
        <v>34</v>
      </c>
      <c r="E160" s="19" t="s">
        <v>35</v>
      </c>
      <c r="F160" s="19" t="s">
        <v>36</v>
      </c>
      <c r="G160" s="19" t="s">
        <v>35</v>
      </c>
      <c r="H160" s="19" t="s">
        <v>36</v>
      </c>
      <c r="I160" s="19" t="s">
        <v>35</v>
      </c>
      <c r="J160" s="19" t="s">
        <v>36</v>
      </c>
      <c r="K160" s="19" t="s">
        <v>35</v>
      </c>
      <c r="L160" s="19" t="s">
        <v>36</v>
      </c>
      <c r="M160" s="19" t="s">
        <v>35</v>
      </c>
      <c r="N160" s="19" t="s">
        <v>36</v>
      </c>
      <c r="O160" s="19" t="s">
        <v>35</v>
      </c>
      <c r="P160" s="19" t="s">
        <v>36</v>
      </c>
      <c r="Q160" s="19" t="s">
        <v>35</v>
      </c>
      <c r="R160" s="19" t="s">
        <v>36</v>
      </c>
      <c r="S160" s="19" t="s">
        <v>35</v>
      </c>
      <c r="T160" s="19" t="s">
        <v>36</v>
      </c>
    </row>
    <row r="163" spans="1:20" x14ac:dyDescent="0.25">
      <c r="A163" s="20" t="s">
        <v>38</v>
      </c>
      <c r="B163" s="20" t="s">
        <v>114</v>
      </c>
      <c r="C163" s="21">
        <f>SUM(E163,G163,I163,K163,M163,O163,Q163,S163)</f>
      </c>
      <c r="D163" s="21">
        <f>SUM(F163,H163,J163,L163,N163,P163,R163,T163)</f>
      </c>
      <c r="E163" s="22">
        <v>0</v>
      </c>
      <c r="F163" s="22">
        <v>0</v>
      </c>
      <c r="G163" s="22">
        <v>0</v>
      </c>
      <c r="H163" s="22">
        <v>0</v>
      </c>
      <c r="I163" s="22">
        <v>0</v>
      </c>
      <c r="J163" s="22">
        <v>0</v>
      </c>
      <c r="K163" s="22">
        <v>0</v>
      </c>
      <c r="L163" s="22">
        <v>0</v>
      </c>
      <c r="M163" s="22">
        <v>0</v>
      </c>
      <c r="N163" s="22">
        <v>0</v>
      </c>
      <c r="O163" s="22">
        <v>0</v>
      </c>
      <c r="P163" s="22">
        <v>0</v>
      </c>
      <c r="Q163" s="22">
        <v>0</v>
      </c>
      <c r="R163" s="22">
        <v>0</v>
      </c>
      <c r="S163" s="22">
        <v>0</v>
      </c>
      <c r="T163" s="22">
        <v>0</v>
      </c>
    </row>
    <row r="164" spans="1:20" x14ac:dyDescent="0.25">
      <c r="A164" s="20"/>
      <c r="B164" s="20" t="s">
        <v>115</v>
      </c>
      <c r="C164" s="21">
        <f>SUM(E164,G164,I164,K164,M164,O164,Q164,S164)</f>
      </c>
      <c r="D164" s="21">
        <f>SUM(F164,H164,J164,L164,N164,P164,R164,T164)</f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  <c r="J164" s="22">
        <v>0</v>
      </c>
      <c r="K164" s="22">
        <v>0</v>
      </c>
      <c r="L164" s="22">
        <v>0</v>
      </c>
      <c r="M164" s="22">
        <v>0</v>
      </c>
      <c r="N164" s="22">
        <v>0</v>
      </c>
      <c r="O164" s="22">
        <v>0</v>
      </c>
      <c r="P164" s="22">
        <v>0</v>
      </c>
      <c r="Q164" s="22">
        <v>0</v>
      </c>
      <c r="R164" s="22">
        <v>0</v>
      </c>
      <c r="S164" s="22">
        <v>0</v>
      </c>
      <c r="T164" s="22">
        <v>0</v>
      </c>
    </row>
    <row r="165" spans="1:20" x14ac:dyDescent="0.25">
      <c r="A165" s="20"/>
      <c r="B165" s="20" t="s">
        <v>116</v>
      </c>
      <c r="C165" s="21">
        <f>SUM(E165,G165,I165,K165,M165,O165,Q165,S165)</f>
      </c>
      <c r="D165" s="21">
        <f>SUM(F165,H165,J165,L165,N165,P165,R165,T165)</f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2">
        <v>0</v>
      </c>
      <c r="M165" s="22">
        <v>0</v>
      </c>
      <c r="N165" s="22">
        <v>0</v>
      </c>
      <c r="O165" s="22">
        <v>0</v>
      </c>
      <c r="P165" s="22">
        <v>0</v>
      </c>
      <c r="Q165" s="22">
        <v>0</v>
      </c>
      <c r="R165" s="22">
        <v>0</v>
      </c>
      <c r="S165" s="22">
        <v>0</v>
      </c>
      <c r="T165" s="22">
        <v>0</v>
      </c>
    </row>
    <row r="166" spans="1:20" x14ac:dyDescent="0.25">
      <c r="A166" s="23" t="s">
        <v>79</v>
      </c>
      <c r="B166" s="23" t="s">
        <v>38</v>
      </c>
      <c r="C166" s="24">
        <f>SUM(C163:C165)</f>
      </c>
      <c r="D166" s="24">
        <f>SUM(D163:D165)</f>
      </c>
      <c r="E166" s="24">
        <f>SUM(E163:E165)</f>
      </c>
      <c r="F166" s="24">
        <f>SUM(F163:F165)</f>
      </c>
      <c r="G166" s="24">
        <f>SUM(G163:G165)</f>
      </c>
      <c r="H166" s="24">
        <f>SUM(H163:H165)</f>
      </c>
      <c r="I166" s="24">
        <f>SUM(I163:I165)</f>
      </c>
      <c r="J166" s="24">
        <f>SUM(J163:J165)</f>
      </c>
      <c r="K166" s="24">
        <f>SUM(K163:K165)</f>
      </c>
      <c r="L166" s="24">
        <f>SUM(L163:L165)</f>
      </c>
      <c r="M166" s="24">
        <f>SUM(M163:M165)</f>
      </c>
      <c r="N166" s="24">
        <f>SUM(N163:N165)</f>
      </c>
      <c r="O166" s="24">
        <f>SUM(O163:O165)</f>
      </c>
      <c r="P166" s="24">
        <f>SUM(P163:P165)</f>
      </c>
      <c r="Q166" s="24">
        <f>SUM(Q163:Q165)</f>
      </c>
      <c r="R166" s="24">
        <f>SUM(R163:R165)</f>
      </c>
      <c r="S166" s="24">
        <f>SUM(S163:S165)</f>
      </c>
      <c r="T166" s="24">
        <f>SUM(T163:T165)</f>
      </c>
    </row>
    <row r="167" spans="1:20" x14ac:dyDescent="0.25">
      <c r="A167" s="20" t="s">
        <v>39</v>
      </c>
      <c r="B167" s="20" t="s">
        <v>114</v>
      </c>
      <c r="C167" s="21">
        <f>SUM(E167,G167,I167,K167,M167,O167,Q167,S167)</f>
      </c>
      <c r="D167" s="21">
        <f>SUM(F167,H167,J167,L167,N167,P167,R167,T167)</f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  <c r="J167" s="22">
        <v>0</v>
      </c>
      <c r="K167" s="22">
        <v>0</v>
      </c>
      <c r="L167" s="22">
        <v>0</v>
      </c>
      <c r="M167" s="22">
        <v>0</v>
      </c>
      <c r="N167" s="22">
        <v>0</v>
      </c>
      <c r="O167" s="22">
        <v>0</v>
      </c>
      <c r="P167" s="22">
        <v>0</v>
      </c>
      <c r="Q167" s="22">
        <v>0</v>
      </c>
      <c r="R167" s="22">
        <v>0</v>
      </c>
      <c r="S167" s="22">
        <v>0</v>
      </c>
      <c r="T167" s="22">
        <v>0</v>
      </c>
    </row>
    <row r="168" spans="1:20" x14ac:dyDescent="0.25">
      <c r="A168" s="20"/>
      <c r="B168" s="20" t="s">
        <v>115</v>
      </c>
      <c r="C168" s="21">
        <f>SUM(E168,G168,I168,K168,M168,O168,Q168,S168)</f>
      </c>
      <c r="D168" s="21">
        <f>SUM(F168,H168,J168,L168,N168,P168,R168,T168)</f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2">
        <v>0</v>
      </c>
      <c r="M168" s="22">
        <v>0</v>
      </c>
      <c r="N168" s="22">
        <v>0</v>
      </c>
      <c r="O168" s="22">
        <v>0</v>
      </c>
      <c r="P168" s="22">
        <v>0</v>
      </c>
      <c r="Q168" s="22">
        <v>0</v>
      </c>
      <c r="R168" s="22">
        <v>0</v>
      </c>
      <c r="S168" s="22">
        <v>0</v>
      </c>
      <c r="T168" s="22">
        <v>0</v>
      </c>
    </row>
    <row r="169" spans="1:20" x14ac:dyDescent="0.25">
      <c r="A169" s="20"/>
      <c r="B169" s="20" t="s">
        <v>116</v>
      </c>
      <c r="C169" s="21">
        <f>SUM(E169,G169,I169,K169,M169,O169,Q169,S169)</f>
      </c>
      <c r="D169" s="21">
        <f>SUM(F169,H169,J169,L169,N169,P169,R169,T169)</f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2">
        <v>0</v>
      </c>
      <c r="M169" s="22">
        <v>0</v>
      </c>
      <c r="N169" s="22">
        <v>0</v>
      </c>
      <c r="O169" s="22">
        <v>0</v>
      </c>
      <c r="P169" s="22">
        <v>0</v>
      </c>
      <c r="Q169" s="22">
        <v>0</v>
      </c>
      <c r="R169" s="22">
        <v>0</v>
      </c>
      <c r="S169" s="22">
        <v>0</v>
      </c>
      <c r="T169" s="22">
        <v>0</v>
      </c>
    </row>
    <row r="170" spans="1:20" x14ac:dyDescent="0.25">
      <c r="A170" s="23" t="s">
        <v>79</v>
      </c>
      <c r="B170" s="23" t="s">
        <v>39</v>
      </c>
      <c r="C170" s="24">
        <f>SUM(C167:C169)</f>
      </c>
      <c r="D170" s="24">
        <f>SUM(D167:D169)</f>
      </c>
      <c r="E170" s="24">
        <f>SUM(E167:E169)</f>
      </c>
      <c r="F170" s="24">
        <f>SUM(F167:F169)</f>
      </c>
      <c r="G170" s="24">
        <f>SUM(G167:G169)</f>
      </c>
      <c r="H170" s="24">
        <f>SUM(H167:H169)</f>
      </c>
      <c r="I170" s="24">
        <f>SUM(I167:I169)</f>
      </c>
      <c r="J170" s="24">
        <f>SUM(J167:J169)</f>
      </c>
      <c r="K170" s="24">
        <f>SUM(K167:K169)</f>
      </c>
      <c r="L170" s="24">
        <f>SUM(L167:L169)</f>
      </c>
      <c r="M170" s="24">
        <f>SUM(M167:M169)</f>
      </c>
      <c r="N170" s="24">
        <f>SUM(N167:N169)</f>
      </c>
      <c r="O170" s="24">
        <f>SUM(O167:O169)</f>
      </c>
      <c r="P170" s="24">
        <f>SUM(P167:P169)</f>
      </c>
      <c r="Q170" s="24">
        <f>SUM(Q167:Q169)</f>
      </c>
      <c r="R170" s="24">
        <f>SUM(R167:R169)</f>
      </c>
      <c r="S170" s="24">
        <f>SUM(S167:S169)</f>
      </c>
      <c r="T170" s="24">
        <f>SUM(T167:T169)</f>
      </c>
    </row>
    <row r="171" spans="1:20" x14ac:dyDescent="0.25">
      <c r="A171" s="20" t="s">
        <v>40</v>
      </c>
      <c r="B171" s="20" t="s">
        <v>114</v>
      </c>
      <c r="C171" s="21">
        <f>SUM(E171,G171,I171,K171,M171,O171,Q171,S171)</f>
      </c>
      <c r="D171" s="21">
        <f>SUM(F171,H171,J171,L171,N171,P171,R171,T171)</f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0</v>
      </c>
      <c r="P171" s="22">
        <v>0</v>
      </c>
      <c r="Q171" s="22">
        <v>0</v>
      </c>
      <c r="R171" s="22">
        <v>0</v>
      </c>
      <c r="S171" s="22">
        <v>0</v>
      </c>
      <c r="T171" s="22">
        <v>0</v>
      </c>
    </row>
    <row r="172" spans="1:20" x14ac:dyDescent="0.25">
      <c r="A172" s="20"/>
      <c r="B172" s="20" t="s">
        <v>115</v>
      </c>
      <c r="C172" s="21">
        <f>SUM(E172,G172,I172,K172,M172,O172,Q172,S172)</f>
      </c>
      <c r="D172" s="21">
        <f>SUM(F172,H172,J172,L172,N172,P172,R172,T172)</f>
      </c>
      <c r="E172" s="22">
        <v>0</v>
      </c>
      <c r="F172" s="22">
        <v>0</v>
      </c>
      <c r="G172" s="22">
        <v>0</v>
      </c>
      <c r="H172" s="22">
        <v>0</v>
      </c>
      <c r="I172" s="22">
        <v>0</v>
      </c>
      <c r="J172" s="22">
        <v>0</v>
      </c>
      <c r="K172" s="22">
        <v>0</v>
      </c>
      <c r="L172" s="22">
        <v>0</v>
      </c>
      <c r="M172" s="22">
        <v>0</v>
      </c>
      <c r="N172" s="22">
        <v>0</v>
      </c>
      <c r="O172" s="22">
        <v>0</v>
      </c>
      <c r="P172" s="22">
        <v>0</v>
      </c>
      <c r="Q172" s="22">
        <v>0</v>
      </c>
      <c r="R172" s="22">
        <v>0</v>
      </c>
      <c r="S172" s="22">
        <v>0</v>
      </c>
      <c r="T172" s="22">
        <v>0</v>
      </c>
    </row>
    <row r="173" spans="1:20" x14ac:dyDescent="0.25">
      <c r="A173" s="20"/>
      <c r="B173" s="20" t="s">
        <v>116</v>
      </c>
      <c r="C173" s="21">
        <f>SUM(E173,G173,I173,K173,M173,O173,Q173,S173)</f>
      </c>
      <c r="D173" s="21">
        <f>SUM(F173,H173,J173,L173,N173,P173,R173,T173)</f>
      </c>
      <c r="E173" s="22">
        <v>0</v>
      </c>
      <c r="F173" s="22">
        <v>0</v>
      </c>
      <c r="G173" s="22">
        <v>0</v>
      </c>
      <c r="H173" s="22">
        <v>0</v>
      </c>
      <c r="I173" s="22">
        <v>0</v>
      </c>
      <c r="J173" s="22">
        <v>0</v>
      </c>
      <c r="K173" s="22">
        <v>0</v>
      </c>
      <c r="L173" s="22">
        <v>0</v>
      </c>
      <c r="M173" s="22">
        <v>0</v>
      </c>
      <c r="N173" s="22">
        <v>0</v>
      </c>
      <c r="O173" s="22">
        <v>0</v>
      </c>
      <c r="P173" s="22">
        <v>0</v>
      </c>
      <c r="Q173" s="22">
        <v>0</v>
      </c>
      <c r="R173" s="22">
        <v>0</v>
      </c>
      <c r="S173" s="22">
        <v>0</v>
      </c>
      <c r="T173" s="22">
        <v>0</v>
      </c>
    </row>
    <row r="174" spans="1:20" x14ac:dyDescent="0.25">
      <c r="A174" s="23" t="s">
        <v>79</v>
      </c>
      <c r="B174" s="23" t="s">
        <v>40</v>
      </c>
      <c r="C174" s="24">
        <f>SUM(C171:C173)</f>
      </c>
      <c r="D174" s="24">
        <f>SUM(D171:D173)</f>
      </c>
      <c r="E174" s="24">
        <f>SUM(E171:E173)</f>
      </c>
      <c r="F174" s="24">
        <f>SUM(F171:F173)</f>
      </c>
      <c r="G174" s="24">
        <f>SUM(G171:G173)</f>
      </c>
      <c r="H174" s="24">
        <f>SUM(H171:H173)</f>
      </c>
      <c r="I174" s="24">
        <f>SUM(I171:I173)</f>
      </c>
      <c r="J174" s="24">
        <f>SUM(J171:J173)</f>
      </c>
      <c r="K174" s="24">
        <f>SUM(K171:K173)</f>
      </c>
      <c r="L174" s="24">
        <f>SUM(L171:L173)</f>
      </c>
      <c r="M174" s="24">
        <f>SUM(M171:M173)</f>
      </c>
      <c r="N174" s="24">
        <f>SUM(N171:N173)</f>
      </c>
      <c r="O174" s="24">
        <f>SUM(O171:O173)</f>
      </c>
      <c r="P174" s="24">
        <f>SUM(P171:P173)</f>
      </c>
      <c r="Q174" s="24">
        <f>SUM(Q171:Q173)</f>
      </c>
      <c r="R174" s="24">
        <f>SUM(R171:R173)</f>
      </c>
      <c r="S174" s="24">
        <f>SUM(S171:S173)</f>
      </c>
      <c r="T174" s="24">
        <f>SUM(T171:T173)</f>
      </c>
    </row>
    <row r="175" spans="1:20" x14ac:dyDescent="0.25">
      <c r="A175" s="23" t="s">
        <v>81</v>
      </c>
      <c r="B175" s="23" t="s">
        <v>114</v>
      </c>
      <c r="C175" s="24">
        <f>SUM(C163,C167,C171)</f>
      </c>
      <c r="D175" s="24">
        <f>SUM(D163,D167,D171)</f>
      </c>
      <c r="E175" s="24">
        <f>SUM(E163,E167,E171)</f>
      </c>
      <c r="F175" s="24">
        <f>SUM(F163,F167,F171)</f>
      </c>
      <c r="G175" s="24">
        <f>SUM(G163,G167,G171)</f>
      </c>
      <c r="H175" s="24">
        <f>SUM(H163,H167,H171)</f>
      </c>
      <c r="I175" s="24">
        <f>SUM(I163,I167,I171)</f>
      </c>
      <c r="J175" s="24">
        <f>SUM(J163,J167,J171)</f>
      </c>
      <c r="K175" s="24">
        <f>SUM(K163,K167,K171)</f>
      </c>
      <c r="L175" s="24">
        <f>SUM(L163,L167,L171)</f>
      </c>
      <c r="M175" s="24">
        <f>SUM(M163,M167,M171)</f>
      </c>
      <c r="N175" s="24">
        <f>SUM(N163,N167,N171)</f>
      </c>
      <c r="O175" s="24">
        <f>SUM(O163,O167,O171)</f>
      </c>
      <c r="P175" s="24">
        <f>SUM(P163,P167,P171)</f>
      </c>
      <c r="Q175" s="24">
        <f>SUM(Q163,Q167,Q171)</f>
      </c>
      <c r="R175" s="24">
        <f>SUM(R163,R167,R171)</f>
      </c>
      <c r="S175" s="24">
        <f>SUM(S163,S167,S171)</f>
      </c>
      <c r="T175" s="24">
        <f>SUM(T163,T167,T171)</f>
      </c>
    </row>
    <row r="176" spans="1:20" x14ac:dyDescent="0.25">
      <c r="A176" s="23" t="s">
        <v>81</v>
      </c>
      <c r="B176" s="23" t="s">
        <v>115</v>
      </c>
      <c r="C176" s="24">
        <f>SUM(C164,C168,C172)</f>
      </c>
      <c r="D176" s="24">
        <f>SUM(D164,D168,D172)</f>
      </c>
      <c r="E176" s="24">
        <f>SUM(E164,E168,E172)</f>
      </c>
      <c r="F176" s="24">
        <f>SUM(F164,F168,F172)</f>
      </c>
      <c r="G176" s="24">
        <f>SUM(G164,G168,G172)</f>
      </c>
      <c r="H176" s="24">
        <f>SUM(H164,H168,H172)</f>
      </c>
      <c r="I176" s="24">
        <f>SUM(I164,I168,I172)</f>
      </c>
      <c r="J176" s="24">
        <f>SUM(J164,J168,J172)</f>
      </c>
      <c r="K176" s="24">
        <f>SUM(K164,K168,K172)</f>
      </c>
      <c r="L176" s="24">
        <f>SUM(L164,L168,L172)</f>
      </c>
      <c r="M176" s="24">
        <f>SUM(M164,M168,M172)</f>
      </c>
      <c r="N176" s="24">
        <f>SUM(N164,N168,N172)</f>
      </c>
      <c r="O176" s="24">
        <f>SUM(O164,O168,O172)</f>
      </c>
      <c r="P176" s="24">
        <f>SUM(P164,P168,P172)</f>
      </c>
      <c r="Q176" s="24">
        <f>SUM(Q164,Q168,Q172)</f>
      </c>
      <c r="R176" s="24">
        <f>SUM(R164,R168,R172)</f>
      </c>
      <c r="S176" s="24">
        <f>SUM(S164,S168,S172)</f>
      </c>
      <c r="T176" s="24">
        <f>SUM(T164,T168,T172)</f>
      </c>
    </row>
    <row r="177" spans="1:20" x14ac:dyDescent="0.25">
      <c r="A177" s="23" t="s">
        <v>81</v>
      </c>
      <c r="B177" s="23" t="s">
        <v>116</v>
      </c>
      <c r="C177" s="24">
        <f>SUM(C165,C169,C173)</f>
      </c>
      <c r="D177" s="24">
        <f>SUM(D165,D169,D173)</f>
      </c>
      <c r="E177" s="24">
        <f>SUM(E165,E169,E173)</f>
      </c>
      <c r="F177" s="24">
        <f>SUM(F165,F169,F173)</f>
      </c>
      <c r="G177" s="24">
        <f>SUM(G165,G169,G173)</f>
      </c>
      <c r="H177" s="24">
        <f>SUM(H165,H169,H173)</f>
      </c>
      <c r="I177" s="24">
        <f>SUM(I165,I169,I173)</f>
      </c>
      <c r="J177" s="24">
        <f>SUM(J165,J169,J173)</f>
      </c>
      <c r="K177" s="24">
        <f>SUM(K165,K169,K173)</f>
      </c>
      <c r="L177" s="24">
        <f>SUM(L165,L169,L173)</f>
      </c>
      <c r="M177" s="24">
        <f>SUM(M165,M169,M173)</f>
      </c>
      <c r="N177" s="24">
        <f>SUM(N165,N169,N173)</f>
      </c>
      <c r="O177" s="24">
        <f>SUM(O165,O169,O173)</f>
      </c>
      <c r="P177" s="24">
        <f>SUM(P165,P169,P173)</f>
      </c>
      <c r="Q177" s="24">
        <f>SUM(Q165,Q169,Q173)</f>
      </c>
      <c r="R177" s="24">
        <f>SUM(R165,R169,R173)</f>
      </c>
      <c r="S177" s="24">
        <f>SUM(S165,S169,S173)</f>
      </c>
      <c r="T177" s="24">
        <f>SUM(T165,T169,T173)</f>
      </c>
    </row>
    <row r="178" spans="1:20" x14ac:dyDescent="0.25">
      <c r="A178" s="23" t="s">
        <v>46</v>
      </c>
      <c r="B178" s="23" t="s">
        <v>117</v>
      </c>
      <c r="C178" s="24">
        <f>SUM(C166,C170,C174)</f>
      </c>
      <c r="D178" s="24">
        <f>SUM(D166,D170,D174)</f>
      </c>
      <c r="E178" s="24">
        <f>SUM(E166,E170,E174)</f>
      </c>
      <c r="F178" s="24">
        <f>SUM(F166,F170,F174)</f>
      </c>
      <c r="G178" s="24">
        <f>SUM(G166,G170,G174)</f>
      </c>
      <c r="H178" s="24">
        <f>SUM(H166,H170,H174)</f>
      </c>
      <c r="I178" s="24">
        <f>SUM(I166,I170,I174)</f>
      </c>
      <c r="J178" s="24">
        <f>SUM(J166,J170,J174)</f>
      </c>
      <c r="K178" s="24">
        <f>SUM(K166,K170,K174)</f>
      </c>
      <c r="L178" s="24">
        <f>SUM(L166,L170,L174)</f>
      </c>
      <c r="M178" s="24">
        <f>SUM(M166,M170,M174)</f>
      </c>
      <c r="N178" s="24">
        <f>SUM(N166,N170,N174)</f>
      </c>
      <c r="O178" s="24">
        <f>SUM(O166,O170,O174)</f>
      </c>
      <c r="P178" s="24">
        <f>SUM(P166,P170,P174)</f>
      </c>
      <c r="Q178" s="24">
        <f>SUM(Q166,Q170,Q174)</f>
      </c>
      <c r="R178" s="24">
        <f>SUM(R166,R170,R174)</f>
      </c>
      <c r="S178" s="24">
        <f>SUM(S166,S170,S174)</f>
      </c>
      <c r="T178" s="24">
        <f>SUM(T166,T170,T174)</f>
      </c>
    </row>
    <row r="181" spans="1:1" x14ac:dyDescent="0.25">
      <c r="A181" s="18" t="s">
        <v>118</v>
      </c>
    </row>
    <row r="183" spans="1:20" x14ac:dyDescent="0.25">
      <c r="A183" s="19" t="s">
        <v>84</v>
      </c>
      <c r="B183" s="19" t="s">
        <v>49</v>
      </c>
      <c r="C183" s="19" t="s">
        <v>17</v>
      </c>
      <c r="D183" s="19"/>
      <c r="E183" s="19" t="s">
        <v>60</v>
      </c>
      <c r="F183" s="19"/>
      <c r="G183" s="19" t="s">
        <v>61</v>
      </c>
      <c r="H183" s="19"/>
      <c r="I183" s="19" t="s">
        <v>62</v>
      </c>
      <c r="J183" s="19"/>
      <c r="K183" s="19" t="s">
        <v>63</v>
      </c>
      <c r="L183" s="19"/>
      <c r="M183" s="19" t="s">
        <v>64</v>
      </c>
      <c r="N183" s="19"/>
      <c r="O183" s="19" t="s">
        <v>65</v>
      </c>
      <c r="P183" s="19"/>
      <c r="Q183" s="19" t="s">
        <v>66</v>
      </c>
      <c r="R183" s="19"/>
      <c r="S183" s="19" t="s">
        <v>67</v>
      </c>
      <c r="T183" s="19"/>
    </row>
    <row r="184" spans="1:20" x14ac:dyDescent="0.25">
      <c r="A184" s="19"/>
      <c r="B184" s="19"/>
      <c r="C184" s="19" t="s">
        <v>33</v>
      </c>
      <c r="D184" s="19" t="s">
        <v>34</v>
      </c>
      <c r="E184" s="19" t="s">
        <v>35</v>
      </c>
      <c r="F184" s="19" t="s">
        <v>36</v>
      </c>
      <c r="G184" s="19" t="s">
        <v>35</v>
      </c>
      <c r="H184" s="19" t="s">
        <v>36</v>
      </c>
      <c r="I184" s="19" t="s">
        <v>35</v>
      </c>
      <c r="J184" s="19" t="s">
        <v>36</v>
      </c>
      <c r="K184" s="19" t="s">
        <v>35</v>
      </c>
      <c r="L184" s="19" t="s">
        <v>36</v>
      </c>
      <c r="M184" s="19" t="s">
        <v>35</v>
      </c>
      <c r="N184" s="19" t="s">
        <v>36</v>
      </c>
      <c r="O184" s="19" t="s">
        <v>35</v>
      </c>
      <c r="P184" s="19" t="s">
        <v>36</v>
      </c>
      <c r="Q184" s="19" t="s">
        <v>35</v>
      </c>
      <c r="R184" s="19" t="s">
        <v>36</v>
      </c>
      <c r="S184" s="19" t="s">
        <v>35</v>
      </c>
      <c r="T184" s="19" t="s">
        <v>36</v>
      </c>
    </row>
    <row r="185" spans="1:20" x14ac:dyDescent="0.25">
      <c r="A185" s="20" t="s">
        <v>38</v>
      </c>
      <c r="B185" s="20" t="s">
        <v>114</v>
      </c>
      <c r="C185" s="21">
        <f>SUM(E185,G185,I185,K185,M185,O185,Q185,S185)</f>
      </c>
      <c r="D185" s="21">
        <f>SUM(F185,H185,J185,L185,N185,P185,R185,T185)</f>
      </c>
      <c r="E185" s="22">
        <v>0</v>
      </c>
      <c r="F185" s="22">
        <v>0</v>
      </c>
      <c r="G185" s="22">
        <v>0</v>
      </c>
      <c r="H185" s="22">
        <v>0</v>
      </c>
      <c r="I185" s="22">
        <v>0</v>
      </c>
      <c r="J185" s="22">
        <v>0</v>
      </c>
      <c r="K185" s="22">
        <v>0</v>
      </c>
      <c r="L185" s="22">
        <v>0</v>
      </c>
      <c r="M185" s="22">
        <v>0</v>
      </c>
      <c r="N185" s="22">
        <v>0</v>
      </c>
      <c r="O185" s="22">
        <v>0</v>
      </c>
      <c r="P185" s="22">
        <v>0</v>
      </c>
      <c r="Q185" s="22">
        <v>0</v>
      </c>
      <c r="R185" s="22">
        <v>0</v>
      </c>
      <c r="S185" s="22">
        <v>0</v>
      </c>
      <c r="T185" s="22">
        <v>0</v>
      </c>
    </row>
    <row r="186" spans="1:20" x14ac:dyDescent="0.25">
      <c r="A186" s="20"/>
      <c r="B186" s="20" t="s">
        <v>115</v>
      </c>
      <c r="C186" s="21">
        <f>SUM(E186,G186,I186,K186,M186,O186,Q186,S186)</f>
      </c>
      <c r="D186" s="21">
        <f>SUM(F186,H186,J186,L186,N186,P186,R186,T186)</f>
      </c>
      <c r="E186" s="22">
        <v>0</v>
      </c>
      <c r="F186" s="22">
        <v>0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2">
        <v>0</v>
      </c>
      <c r="M186" s="22">
        <v>0</v>
      </c>
      <c r="N186" s="22">
        <v>0</v>
      </c>
      <c r="O186" s="22">
        <v>0</v>
      </c>
      <c r="P186" s="22">
        <v>0</v>
      </c>
      <c r="Q186" s="22">
        <v>0</v>
      </c>
      <c r="R186" s="22">
        <v>0</v>
      </c>
      <c r="S186" s="22">
        <v>0</v>
      </c>
      <c r="T186" s="22">
        <v>0</v>
      </c>
    </row>
    <row r="187" spans="1:20" x14ac:dyDescent="0.25">
      <c r="A187" s="20"/>
      <c r="B187" s="20" t="s">
        <v>116</v>
      </c>
      <c r="C187" s="21">
        <f>SUM(E187,G187,I187,K187,M187,O187,Q187,S187)</f>
      </c>
      <c r="D187" s="21">
        <f>SUM(F187,H187,J187,L187,N187,P187,R187,T187)</f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  <c r="J187" s="22">
        <v>0</v>
      </c>
      <c r="K187" s="22">
        <v>0</v>
      </c>
      <c r="L187" s="22">
        <v>0</v>
      </c>
      <c r="M187" s="22">
        <v>0</v>
      </c>
      <c r="N187" s="22">
        <v>0</v>
      </c>
      <c r="O187" s="22">
        <v>0</v>
      </c>
      <c r="P187" s="22">
        <v>0</v>
      </c>
      <c r="Q187" s="22">
        <v>0</v>
      </c>
      <c r="R187" s="22">
        <v>0</v>
      </c>
      <c r="S187" s="22">
        <v>0</v>
      </c>
      <c r="T187" s="22">
        <v>0</v>
      </c>
    </row>
    <row r="188" spans="1:20" x14ac:dyDescent="0.25">
      <c r="A188" s="23" t="s">
        <v>17</v>
      </c>
      <c r="B188" s="23" t="s">
        <v>119</v>
      </c>
      <c r="C188" s="24">
        <f>SUM(C185:C187)</f>
      </c>
      <c r="D188" s="24">
        <f>SUM(D185:D187)</f>
      </c>
      <c r="E188" s="24">
        <f>SUM(E185:E187)</f>
      </c>
      <c r="F188" s="24">
        <f>SUM(F185:F187)</f>
      </c>
      <c r="G188" s="24">
        <f>SUM(G185:G187)</f>
      </c>
      <c r="H188" s="24">
        <f>SUM(H185:H187)</f>
      </c>
      <c r="I188" s="24">
        <f>SUM(I185:I187)</f>
      </c>
      <c r="J188" s="24">
        <f>SUM(J185:J187)</f>
      </c>
      <c r="K188" s="24">
        <f>SUM(K185:K187)</f>
      </c>
      <c r="L188" s="24">
        <f>SUM(L185:L187)</f>
      </c>
      <c r="M188" s="24">
        <f>SUM(M185:M187)</f>
      </c>
      <c r="N188" s="24">
        <f>SUM(N185:N187)</f>
      </c>
      <c r="O188" s="24">
        <f>SUM(O185:O187)</f>
      </c>
      <c r="P188" s="24">
        <f>SUM(P185:P187)</f>
      </c>
      <c r="Q188" s="24">
        <f>SUM(Q185:Q187)</f>
      </c>
      <c r="R188" s="24">
        <f>SUM(R185:R187)</f>
      </c>
      <c r="S188" s="24">
        <f>SUM(S185:S187)</f>
      </c>
      <c r="T188" s="24">
        <f>SUM(T185:T187)</f>
      </c>
    </row>
    <row r="192" spans="1:1" x14ac:dyDescent="0.25">
      <c r="A192" s="18" t="s">
        <v>120</v>
      </c>
    </row>
    <row r="194" spans="1:20" x14ac:dyDescent="0.25">
      <c r="A194" s="19" t="s">
        <v>84</v>
      </c>
      <c r="B194" s="19" t="s">
        <v>49</v>
      </c>
      <c r="C194" s="19" t="s">
        <v>17</v>
      </c>
      <c r="D194" s="19"/>
      <c r="E194" s="19" t="s">
        <v>55</v>
      </c>
      <c r="F194" s="19"/>
      <c r="G194" s="19" t="s">
        <v>56</v>
      </c>
      <c r="H194" s="19"/>
      <c r="I194" s="19" t="s">
        <v>86</v>
      </c>
      <c r="J194" s="19"/>
      <c r="K194" s="19" t="s">
        <v>112</v>
      </c>
      <c r="L194" s="19"/>
      <c r="M194" s="19" t="s">
        <v>96</v>
      </c>
      <c r="N194" s="19"/>
      <c r="O194" s="19" t="s">
        <v>97</v>
      </c>
      <c r="P194" s="19"/>
      <c r="Q194" s="19" t="s">
        <v>98</v>
      </c>
      <c r="R194" s="19"/>
      <c r="S194" s="19" t="s">
        <v>113</v>
      </c>
      <c r="T194" s="19"/>
    </row>
    <row r="195" spans="1:20" x14ac:dyDescent="0.25">
      <c r="A195" s="19"/>
      <c r="B195" s="19"/>
      <c r="C195" s="19" t="s">
        <v>33</v>
      </c>
      <c r="D195" s="19" t="s">
        <v>34</v>
      </c>
      <c r="E195" s="19" t="s">
        <v>35</v>
      </c>
      <c r="F195" s="19" t="s">
        <v>36</v>
      </c>
      <c r="G195" s="19" t="s">
        <v>35</v>
      </c>
      <c r="H195" s="19" t="s">
        <v>36</v>
      </c>
      <c r="I195" s="19" t="s">
        <v>35</v>
      </c>
      <c r="J195" s="19" t="s">
        <v>36</v>
      </c>
      <c r="K195" s="19" t="s">
        <v>35</v>
      </c>
      <c r="L195" s="19" t="s">
        <v>36</v>
      </c>
      <c r="M195" s="19" t="s">
        <v>35</v>
      </c>
      <c r="N195" s="19" t="s">
        <v>36</v>
      </c>
      <c r="O195" s="19" t="s">
        <v>35</v>
      </c>
      <c r="P195" s="19" t="s">
        <v>36</v>
      </c>
      <c r="Q195" s="19" t="s">
        <v>35</v>
      </c>
      <c r="R195" s="19" t="s">
        <v>36</v>
      </c>
      <c r="S195" s="19" t="s">
        <v>35</v>
      </c>
      <c r="T195" s="19" t="s">
        <v>36</v>
      </c>
    </row>
    <row r="199" spans="1:20" x14ac:dyDescent="0.25">
      <c r="A199" s="20" t="s">
        <v>38</v>
      </c>
      <c r="B199" s="20" t="s">
        <v>114</v>
      </c>
      <c r="C199" s="21">
        <f>SUM(E199,G199,I199,K199,M199,O199,Q199,S199)</f>
      </c>
      <c r="D199" s="21">
        <f>SUM(F199,H199,J199,L199,N199,P199,R199,T199)</f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2">
        <v>0</v>
      </c>
      <c r="O199" s="22">
        <v>0</v>
      </c>
      <c r="P199" s="22">
        <v>0</v>
      </c>
      <c r="Q199" s="22">
        <v>0</v>
      </c>
      <c r="R199" s="22">
        <v>0</v>
      </c>
      <c r="S199" s="22">
        <v>0</v>
      </c>
      <c r="T199" s="22">
        <v>0</v>
      </c>
    </row>
    <row r="200" spans="1:20" x14ac:dyDescent="0.25">
      <c r="A200" s="20"/>
      <c r="B200" s="20" t="s">
        <v>115</v>
      </c>
      <c r="C200" s="21">
        <f>SUM(E200,G200,I200,K200,M200,O200,Q200,S200)</f>
      </c>
      <c r="D200" s="21">
        <f>SUM(F200,H200,J200,L200,N200,P200,R200,T200)</f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>
        <v>0</v>
      </c>
      <c r="M200" s="22">
        <v>0</v>
      </c>
      <c r="N200" s="22">
        <v>0</v>
      </c>
      <c r="O200" s="22">
        <v>0</v>
      </c>
      <c r="P200" s="22">
        <v>0</v>
      </c>
      <c r="Q200" s="22">
        <v>0</v>
      </c>
      <c r="R200" s="22">
        <v>0</v>
      </c>
      <c r="S200" s="22">
        <v>0</v>
      </c>
      <c r="T200" s="22">
        <v>0</v>
      </c>
    </row>
    <row r="201" spans="1:20" x14ac:dyDescent="0.25">
      <c r="A201" s="20"/>
      <c r="B201" s="20" t="s">
        <v>116</v>
      </c>
      <c r="C201" s="21">
        <f>SUM(E201,G201,I201,K201,M201,O201,Q201,S201)</f>
      </c>
      <c r="D201" s="21">
        <f>SUM(F201,H201,J201,L201,N201,P201,R201,T201)</f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  <c r="S201" s="22">
        <v>0</v>
      </c>
      <c r="T201" s="22">
        <v>0</v>
      </c>
    </row>
    <row r="202" spans="1:20" x14ac:dyDescent="0.25">
      <c r="A202" s="23" t="s">
        <v>79</v>
      </c>
      <c r="B202" s="23" t="s">
        <v>38</v>
      </c>
      <c r="C202" s="24">
        <f>SUM(C199:C201)</f>
      </c>
      <c r="D202" s="24">
        <f>SUM(D199:D201)</f>
      </c>
      <c r="E202" s="24">
        <f>SUM(E199:E201)</f>
      </c>
      <c r="F202" s="24">
        <f>SUM(F199:F201)</f>
      </c>
      <c r="G202" s="24">
        <f>SUM(G199:G201)</f>
      </c>
      <c r="H202" s="24">
        <f>SUM(H199:H201)</f>
      </c>
      <c r="I202" s="24">
        <f>SUM(I199:I201)</f>
      </c>
      <c r="J202" s="24">
        <f>SUM(J199:J201)</f>
      </c>
      <c r="K202" s="24">
        <f>SUM(K199:K201)</f>
      </c>
      <c r="L202" s="24">
        <f>SUM(L199:L201)</f>
      </c>
      <c r="M202" s="24">
        <f>SUM(M199:M201)</f>
      </c>
      <c r="N202" s="24">
        <f>SUM(N199:N201)</f>
      </c>
      <c r="O202" s="24">
        <f>SUM(O199:O201)</f>
      </c>
      <c r="P202" s="24">
        <f>SUM(P199:P201)</f>
      </c>
      <c r="Q202" s="24">
        <f>SUM(Q199:Q201)</f>
      </c>
      <c r="R202" s="24">
        <f>SUM(R199:R201)</f>
      </c>
      <c r="S202" s="24">
        <f>SUM(S199:S201)</f>
      </c>
      <c r="T202" s="24">
        <f>SUM(T199:T201)</f>
      </c>
    </row>
    <row r="203" spans="1:20" x14ac:dyDescent="0.25">
      <c r="A203" s="20" t="s">
        <v>39</v>
      </c>
      <c r="B203" s="20" t="s">
        <v>114</v>
      </c>
      <c r="C203" s="21">
        <f>SUM(E203,G203,I203,K203,M203,O203,Q203,S203)</f>
      </c>
      <c r="D203" s="21">
        <f>SUM(F203,H203,J203,L203,N203,P203,R203,T203)</f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0</v>
      </c>
      <c r="P203" s="22">
        <v>0</v>
      </c>
      <c r="Q203" s="22">
        <v>0</v>
      </c>
      <c r="R203" s="22">
        <v>0</v>
      </c>
      <c r="S203" s="22">
        <v>0</v>
      </c>
      <c r="T203" s="22">
        <v>0</v>
      </c>
    </row>
    <row r="204" spans="1:20" x14ac:dyDescent="0.25">
      <c r="A204" s="20"/>
      <c r="B204" s="20" t="s">
        <v>115</v>
      </c>
      <c r="C204" s="21">
        <f>SUM(E204,G204,I204,K204,M204,O204,Q204,S204)</f>
      </c>
      <c r="D204" s="21">
        <f>SUM(F204,H204,J204,L204,N204,P204,R204,T204)</f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0</v>
      </c>
      <c r="S204" s="22">
        <v>0</v>
      </c>
      <c r="T204" s="22">
        <v>0</v>
      </c>
    </row>
    <row r="205" spans="1:20" x14ac:dyDescent="0.25">
      <c r="A205" s="20"/>
      <c r="B205" s="20" t="s">
        <v>116</v>
      </c>
      <c r="C205" s="21">
        <f>SUM(E205,G205,I205,K205,M205,O205,Q205,S205)</f>
      </c>
      <c r="D205" s="21">
        <f>SUM(F205,H205,J205,L205,N205,P205,R205,T205)</f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  <c r="S205" s="22">
        <v>0</v>
      </c>
      <c r="T205" s="22">
        <v>0</v>
      </c>
    </row>
    <row r="206" spans="1:20" x14ac:dyDescent="0.25">
      <c r="A206" s="23" t="s">
        <v>79</v>
      </c>
      <c r="B206" s="23" t="s">
        <v>39</v>
      </c>
      <c r="C206" s="24">
        <f>SUM(C203:C205)</f>
      </c>
      <c r="D206" s="24">
        <f>SUM(D203:D205)</f>
      </c>
      <c r="E206" s="24">
        <f>SUM(E203:E205)</f>
      </c>
      <c r="F206" s="24">
        <f>SUM(F203:F205)</f>
      </c>
      <c r="G206" s="24">
        <f>SUM(G203:G205)</f>
      </c>
      <c r="H206" s="24">
        <f>SUM(H203:H205)</f>
      </c>
      <c r="I206" s="24">
        <f>SUM(I203:I205)</f>
      </c>
      <c r="J206" s="24">
        <f>SUM(J203:J205)</f>
      </c>
      <c r="K206" s="24">
        <f>SUM(K203:K205)</f>
      </c>
      <c r="L206" s="24">
        <f>SUM(L203:L205)</f>
      </c>
      <c r="M206" s="24">
        <f>SUM(M203:M205)</f>
      </c>
      <c r="N206" s="24">
        <f>SUM(N203:N205)</f>
      </c>
      <c r="O206" s="24">
        <f>SUM(O203:O205)</f>
      </c>
      <c r="P206" s="24">
        <f>SUM(P203:P205)</f>
      </c>
      <c r="Q206" s="24">
        <f>SUM(Q203:Q205)</f>
      </c>
      <c r="R206" s="24">
        <f>SUM(R203:R205)</f>
      </c>
      <c r="S206" s="24">
        <f>SUM(S203:S205)</f>
      </c>
      <c r="T206" s="24">
        <f>SUM(T203:T205)</f>
      </c>
    </row>
    <row r="207" spans="1:20" x14ac:dyDescent="0.25">
      <c r="A207" s="20" t="s">
        <v>40</v>
      </c>
      <c r="B207" s="20" t="s">
        <v>114</v>
      </c>
      <c r="C207" s="21">
        <f>SUM(E207,G207,I207,K207,M207,O207,Q207,S207)</f>
      </c>
      <c r="D207" s="21">
        <f>SUM(F207,H207,J207,L207,N207,P207,R207,T207)</f>
      </c>
      <c r="E207" s="22">
        <v>0</v>
      </c>
      <c r="F207" s="22">
        <v>0</v>
      </c>
      <c r="G207" s="22">
        <v>0</v>
      </c>
      <c r="H207" s="22">
        <v>0</v>
      </c>
      <c r="I207" s="22">
        <v>0</v>
      </c>
      <c r="J207" s="22">
        <v>0</v>
      </c>
      <c r="K207" s="22">
        <v>0</v>
      </c>
      <c r="L207" s="22">
        <v>0</v>
      </c>
      <c r="M207" s="22">
        <v>0</v>
      </c>
      <c r="N207" s="22">
        <v>0</v>
      </c>
      <c r="O207" s="22">
        <v>0</v>
      </c>
      <c r="P207" s="22">
        <v>0</v>
      </c>
      <c r="Q207" s="22">
        <v>0</v>
      </c>
      <c r="R207" s="22">
        <v>0</v>
      </c>
      <c r="S207" s="22">
        <v>0</v>
      </c>
      <c r="T207" s="22">
        <v>0</v>
      </c>
    </row>
    <row r="208" spans="1:20" x14ac:dyDescent="0.25">
      <c r="A208" s="20"/>
      <c r="B208" s="20" t="s">
        <v>115</v>
      </c>
      <c r="C208" s="21">
        <f>SUM(E208,G208,I208,K208,M208,O208,Q208,S208)</f>
      </c>
      <c r="D208" s="21">
        <f>SUM(F208,H208,J208,L208,N208,P208,R208,T208)</f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  <c r="J208" s="22">
        <v>0</v>
      </c>
      <c r="K208" s="22">
        <v>0</v>
      </c>
      <c r="L208" s="22">
        <v>0</v>
      </c>
      <c r="M208" s="22">
        <v>0</v>
      </c>
      <c r="N208" s="22">
        <v>0</v>
      </c>
      <c r="O208" s="22">
        <v>0</v>
      </c>
      <c r="P208" s="22">
        <v>0</v>
      </c>
      <c r="Q208" s="22">
        <v>0</v>
      </c>
      <c r="R208" s="22">
        <v>0</v>
      </c>
      <c r="S208" s="22">
        <v>0</v>
      </c>
      <c r="T208" s="22">
        <v>0</v>
      </c>
    </row>
    <row r="209" spans="1:20" x14ac:dyDescent="0.25">
      <c r="A209" s="20"/>
      <c r="B209" s="20" t="s">
        <v>116</v>
      </c>
      <c r="C209" s="21">
        <f>SUM(E209,G209,I209,K209,M209,O209,Q209,S209)</f>
      </c>
      <c r="D209" s="21">
        <f>SUM(F209,H209,J209,L209,N209,P209,R209,T209)</f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2">
        <v>0</v>
      </c>
      <c r="O209" s="22">
        <v>0</v>
      </c>
      <c r="P209" s="22">
        <v>0</v>
      </c>
      <c r="Q209" s="22">
        <v>0</v>
      </c>
      <c r="R209" s="22">
        <v>0</v>
      </c>
      <c r="S209" s="22">
        <v>0</v>
      </c>
      <c r="T209" s="22">
        <v>0</v>
      </c>
    </row>
    <row r="210" spans="1:20" x14ac:dyDescent="0.25">
      <c r="A210" s="23" t="s">
        <v>79</v>
      </c>
      <c r="B210" s="23" t="s">
        <v>40</v>
      </c>
      <c r="C210" s="24">
        <f>SUM(C207:C209)</f>
      </c>
      <c r="D210" s="24">
        <f>SUM(D207:D209)</f>
      </c>
      <c r="E210" s="24">
        <f>SUM(E207:E209)</f>
      </c>
      <c r="F210" s="24">
        <f>SUM(F207:F209)</f>
      </c>
      <c r="G210" s="24">
        <f>SUM(G207:G209)</f>
      </c>
      <c r="H210" s="24">
        <f>SUM(H207:H209)</f>
      </c>
      <c r="I210" s="24">
        <f>SUM(I207:I209)</f>
      </c>
      <c r="J210" s="24">
        <f>SUM(J207:J209)</f>
      </c>
      <c r="K210" s="24">
        <f>SUM(K207:K209)</f>
      </c>
      <c r="L210" s="24">
        <f>SUM(L207:L209)</f>
      </c>
      <c r="M210" s="24">
        <f>SUM(M207:M209)</f>
      </c>
      <c r="N210" s="24">
        <f>SUM(N207:N209)</f>
      </c>
      <c r="O210" s="24">
        <f>SUM(O207:O209)</f>
      </c>
      <c r="P210" s="24">
        <f>SUM(P207:P209)</f>
      </c>
      <c r="Q210" s="24">
        <f>SUM(Q207:Q209)</f>
      </c>
      <c r="R210" s="24">
        <f>SUM(R207:R209)</f>
      </c>
      <c r="S210" s="24">
        <f>SUM(S207:S209)</f>
      </c>
      <c r="T210" s="24">
        <f>SUM(T207:T209)</f>
      </c>
    </row>
    <row r="211" spans="1:20" x14ac:dyDescent="0.25">
      <c r="A211" s="23" t="s">
        <v>81</v>
      </c>
      <c r="B211" s="23" t="s">
        <v>114</v>
      </c>
      <c r="C211" s="24">
        <f>SUM(C199,C203,C207)</f>
      </c>
      <c r="D211" s="24">
        <f>SUM(D199,D203,D207)</f>
      </c>
      <c r="E211" s="24">
        <f>SUM(E199,E203,E207)</f>
      </c>
      <c r="F211" s="24">
        <f>SUM(F199,F203,F207)</f>
      </c>
      <c r="G211" s="24">
        <f>SUM(G199,G203,G207)</f>
      </c>
      <c r="H211" s="24">
        <f>SUM(H199,H203,H207)</f>
      </c>
      <c r="I211" s="24">
        <f>SUM(I199,I203,I207)</f>
      </c>
      <c r="J211" s="24">
        <f>SUM(J199,J203,J207)</f>
      </c>
      <c r="K211" s="24">
        <f>SUM(K199,K203,K207)</f>
      </c>
      <c r="L211" s="24">
        <f>SUM(L199,L203,L207)</f>
      </c>
      <c r="M211" s="24">
        <f>SUM(M199,M203,M207)</f>
      </c>
      <c r="N211" s="24">
        <f>SUM(N199,N203,N207)</f>
      </c>
      <c r="O211" s="24">
        <f>SUM(O199,O203,O207)</f>
      </c>
      <c r="P211" s="24">
        <f>SUM(P199,P203,P207)</f>
      </c>
      <c r="Q211" s="24">
        <f>SUM(Q199,Q203,Q207)</f>
      </c>
      <c r="R211" s="24">
        <f>SUM(R199,R203,R207)</f>
      </c>
      <c r="S211" s="24">
        <f>SUM(S199,S203,S207)</f>
      </c>
      <c r="T211" s="24">
        <f>SUM(T199,T203,T207)</f>
      </c>
    </row>
    <row r="212" spans="1:20" x14ac:dyDescent="0.25">
      <c r="A212" s="23" t="s">
        <v>81</v>
      </c>
      <c r="B212" s="23" t="s">
        <v>115</v>
      </c>
      <c r="C212" s="24">
        <f>SUM(C200,C204,C208)</f>
      </c>
      <c r="D212" s="24">
        <f>SUM(D200,D204,D208)</f>
      </c>
      <c r="E212" s="24">
        <f>SUM(E200,E204,E208)</f>
      </c>
      <c r="F212" s="24">
        <f>SUM(F200,F204,F208)</f>
      </c>
      <c r="G212" s="24">
        <f>SUM(G200,G204,G208)</f>
      </c>
      <c r="H212" s="24">
        <f>SUM(H200,H204,H208)</f>
      </c>
      <c r="I212" s="24">
        <f>SUM(I200,I204,I208)</f>
      </c>
      <c r="J212" s="24">
        <f>SUM(J200,J204,J208)</f>
      </c>
      <c r="K212" s="24">
        <f>SUM(K200,K204,K208)</f>
      </c>
      <c r="L212" s="24">
        <f>SUM(L200,L204,L208)</f>
      </c>
      <c r="M212" s="24">
        <f>SUM(M200,M204,M208)</f>
      </c>
      <c r="N212" s="24">
        <f>SUM(N200,N204,N208)</f>
      </c>
      <c r="O212" s="24">
        <f>SUM(O200,O204,O208)</f>
      </c>
      <c r="P212" s="24">
        <f>SUM(P200,P204,P208)</f>
      </c>
      <c r="Q212" s="24">
        <f>SUM(Q200,Q204,Q208)</f>
      </c>
      <c r="R212" s="24">
        <f>SUM(R200,R204,R208)</f>
      </c>
      <c r="S212" s="24">
        <f>SUM(S200,S204,S208)</f>
      </c>
      <c r="T212" s="24">
        <f>SUM(T200,T204,T208)</f>
      </c>
    </row>
    <row r="213" spans="1:20" x14ac:dyDescent="0.25">
      <c r="A213" s="23" t="s">
        <v>81</v>
      </c>
      <c r="B213" s="23" t="s">
        <v>116</v>
      </c>
      <c r="C213" s="24">
        <f>SUM(C201,C205,C209)</f>
      </c>
      <c r="D213" s="24">
        <f>SUM(D201,D205,D209)</f>
      </c>
      <c r="E213" s="24">
        <f>SUM(E201,E205,E209)</f>
      </c>
      <c r="F213" s="24">
        <f>SUM(F201,F205,F209)</f>
      </c>
      <c r="G213" s="24">
        <f>SUM(G201,G205,G209)</f>
      </c>
      <c r="H213" s="24">
        <f>SUM(H201,H205,H209)</f>
      </c>
      <c r="I213" s="24">
        <f>SUM(I201,I205,I209)</f>
      </c>
      <c r="J213" s="24">
        <f>SUM(J201,J205,J209)</f>
      </c>
      <c r="K213" s="24">
        <f>SUM(K201,K205,K209)</f>
      </c>
      <c r="L213" s="24">
        <f>SUM(L201,L205,L209)</f>
      </c>
      <c r="M213" s="24">
        <f>SUM(M201,M205,M209)</f>
      </c>
      <c r="N213" s="24">
        <f>SUM(N201,N205,N209)</f>
      </c>
      <c r="O213" s="24">
        <f>SUM(O201,O205,O209)</f>
      </c>
      <c r="P213" s="24">
        <f>SUM(P201,P205,P209)</f>
      </c>
      <c r="Q213" s="24">
        <f>SUM(Q201,Q205,Q209)</f>
      </c>
      <c r="R213" s="24">
        <f>SUM(R201,R205,R209)</f>
      </c>
      <c r="S213" s="24">
        <f>SUM(S201,S205,S209)</f>
      </c>
      <c r="T213" s="24">
        <f>SUM(T201,T205,T209)</f>
      </c>
    </row>
    <row r="214" spans="1:20" x14ac:dyDescent="0.25">
      <c r="A214" s="23" t="s">
        <v>46</v>
      </c>
      <c r="B214" s="23" t="s">
        <v>121</v>
      </c>
      <c r="C214" s="24">
        <f>SUM(C202,C206,C210)</f>
      </c>
      <c r="D214" s="24">
        <f>SUM(D202,D206,D210)</f>
      </c>
      <c r="E214" s="24">
        <f>SUM(E202,E206,E210)</f>
      </c>
      <c r="F214" s="24">
        <f>SUM(F202,F206,F210)</f>
      </c>
      <c r="G214" s="24">
        <f>SUM(G202,G206,G210)</f>
      </c>
      <c r="H214" s="24">
        <f>SUM(H202,H206,H210)</f>
      </c>
      <c r="I214" s="24">
        <f>SUM(I202,I206,I210)</f>
      </c>
      <c r="J214" s="24">
        <f>SUM(J202,J206,J210)</f>
      </c>
      <c r="K214" s="24">
        <f>SUM(K202,K206,K210)</f>
      </c>
      <c r="L214" s="24">
        <f>SUM(L202,L206,L210)</f>
      </c>
      <c r="M214" s="24">
        <f>SUM(M202,M206,M210)</f>
      </c>
      <c r="N214" s="24">
        <f>SUM(N202,N206,N210)</f>
      </c>
      <c r="O214" s="24">
        <f>SUM(O202,O206,O210)</f>
      </c>
      <c r="P214" s="24">
        <f>SUM(P202,P206,P210)</f>
      </c>
      <c r="Q214" s="24">
        <f>SUM(Q202,Q206,Q210)</f>
      </c>
      <c r="R214" s="24">
        <f>SUM(R202,R206,R210)</f>
      </c>
      <c r="S214" s="24">
        <f>SUM(S202,S206,S210)</f>
      </c>
      <c r="T214" s="24">
        <f>SUM(T202,T206,T210)</f>
      </c>
    </row>
    <row r="218" spans="1:1" x14ac:dyDescent="0.25">
      <c r="A218" s="18" t="s">
        <v>122</v>
      </c>
    </row>
    <row r="220" spans="1:24" x14ac:dyDescent="0.25">
      <c r="A220" s="19" t="s">
        <v>84</v>
      </c>
      <c r="B220" s="19" t="s">
        <v>123</v>
      </c>
      <c r="C220" s="19" t="s">
        <v>17</v>
      </c>
      <c r="D220" s="19"/>
      <c r="E220" s="19" t="s">
        <v>95</v>
      </c>
      <c r="F220" s="19"/>
      <c r="G220" s="19" t="s">
        <v>96</v>
      </c>
      <c r="H220" s="19"/>
      <c r="I220" s="19" t="s">
        <v>97</v>
      </c>
      <c r="J220" s="19"/>
      <c r="K220" s="19" t="s">
        <v>98</v>
      </c>
      <c r="L220" s="19"/>
      <c r="M220" s="19" t="s">
        <v>99</v>
      </c>
      <c r="N220" s="19"/>
      <c r="O220" s="19" t="s">
        <v>100</v>
      </c>
      <c r="P220" s="19"/>
      <c r="Q220" s="19" t="s">
        <v>101</v>
      </c>
      <c r="R220" s="19"/>
      <c r="S220" s="19" t="s">
        <v>102</v>
      </c>
      <c r="T220" s="19"/>
      <c r="U220" s="19" t="s">
        <v>103</v>
      </c>
      <c r="V220" s="19"/>
      <c r="W220" s="19" t="s">
        <v>104</v>
      </c>
      <c r="X220" s="19"/>
    </row>
    <row r="221" spans="1:24" x14ac:dyDescent="0.25">
      <c r="A221" s="19"/>
      <c r="B221" s="19"/>
      <c r="C221" s="19" t="s">
        <v>33</v>
      </c>
      <c r="D221" s="19" t="s">
        <v>34</v>
      </c>
      <c r="E221" s="19" t="s">
        <v>35</v>
      </c>
      <c r="F221" s="19" t="s">
        <v>36</v>
      </c>
      <c r="G221" s="19" t="s">
        <v>35</v>
      </c>
      <c r="H221" s="19" t="s">
        <v>36</v>
      </c>
      <c r="I221" s="19" t="s">
        <v>35</v>
      </c>
      <c r="J221" s="19" t="s">
        <v>36</v>
      </c>
      <c r="K221" s="19" t="s">
        <v>35</v>
      </c>
      <c r="L221" s="19" t="s">
        <v>36</v>
      </c>
      <c r="M221" s="19" t="s">
        <v>35</v>
      </c>
      <c r="N221" s="19" t="s">
        <v>36</v>
      </c>
      <c r="O221" s="19" t="s">
        <v>35</v>
      </c>
      <c r="P221" s="19" t="s">
        <v>36</v>
      </c>
      <c r="Q221" s="19" t="s">
        <v>35</v>
      </c>
      <c r="R221" s="19" t="s">
        <v>36</v>
      </c>
      <c r="S221" s="19" t="s">
        <v>35</v>
      </c>
      <c r="T221" s="19" t="s">
        <v>36</v>
      </c>
      <c r="U221" s="19" t="s">
        <v>35</v>
      </c>
      <c r="V221" s="19" t="s">
        <v>36</v>
      </c>
      <c r="W221" s="19" t="s">
        <v>35</v>
      </c>
      <c r="X221" s="19" t="s">
        <v>36</v>
      </c>
    </row>
    <row r="223" spans="1:24" x14ac:dyDescent="0.25">
      <c r="A223" s="20" t="s">
        <v>38</v>
      </c>
      <c r="B223" s="20" t="s">
        <v>124</v>
      </c>
      <c r="C223" s="21">
        <f>SUM(E223,G223,I223,K223,M223,O223,Q223,S223,U223,W223)</f>
      </c>
      <c r="D223" s="21">
        <f>SUM(F223,H223,J223,L223,N223,P223,R223,T223,V223,X223)</f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0</v>
      </c>
      <c r="S223" s="22">
        <v>0</v>
      </c>
      <c r="T223" s="22">
        <v>0</v>
      </c>
      <c r="U223" s="22">
        <v>0</v>
      </c>
      <c r="V223" s="22">
        <v>0</v>
      </c>
      <c r="W223" s="22">
        <v>0</v>
      </c>
      <c r="X223" s="22">
        <v>0</v>
      </c>
    </row>
    <row r="224" spans="1:24" x14ac:dyDescent="0.25">
      <c r="A224" s="20"/>
      <c r="B224" s="20" t="s">
        <v>125</v>
      </c>
      <c r="C224" s="21">
        <f>SUM(E224,G224,I224,K224,M224,O224,Q224,S224,U224,W224)</f>
      </c>
      <c r="D224" s="21">
        <f>SUM(F224,H224,J224,L224,N224,P224,R224,T224,V224,X224)</f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  <c r="R224" s="22">
        <v>0</v>
      </c>
      <c r="S224" s="22">
        <v>0</v>
      </c>
      <c r="T224" s="22">
        <v>0</v>
      </c>
      <c r="U224" s="22">
        <v>0</v>
      </c>
      <c r="V224" s="22">
        <v>0</v>
      </c>
      <c r="W224" s="22">
        <v>0</v>
      </c>
      <c r="X224" s="22">
        <v>0</v>
      </c>
    </row>
    <row r="225" spans="1:24" x14ac:dyDescent="0.25">
      <c r="A225" s="23" t="s">
        <v>79</v>
      </c>
      <c r="B225" s="23" t="s">
        <v>38</v>
      </c>
      <c r="C225" s="24">
        <f>SUM(C223:C224)</f>
      </c>
      <c r="D225" s="24">
        <f>SUM(D223:D224)</f>
      </c>
      <c r="E225" s="24">
        <f>SUM(E223:E224)</f>
      </c>
      <c r="F225" s="24">
        <f>SUM(F223:F224)</f>
      </c>
      <c r="G225" s="24">
        <f>SUM(G223:G224)</f>
      </c>
      <c r="H225" s="24">
        <f>SUM(H223:H224)</f>
      </c>
      <c r="I225" s="24">
        <f>SUM(I223:I224)</f>
      </c>
      <c r="J225" s="24">
        <f>SUM(J223:J224)</f>
      </c>
      <c r="K225" s="24">
        <f>SUM(K223:K224)</f>
      </c>
      <c r="L225" s="24">
        <f>SUM(L223:L224)</f>
      </c>
      <c r="M225" s="24">
        <f>SUM(M223:M224)</f>
      </c>
      <c r="N225" s="24">
        <f>SUM(N223:N224)</f>
      </c>
      <c r="O225" s="24">
        <f>SUM(O223:O224)</f>
      </c>
      <c r="P225" s="24">
        <f>SUM(P223:P224)</f>
      </c>
      <c r="Q225" s="24">
        <f>SUM(Q223:Q224)</f>
      </c>
      <c r="R225" s="24">
        <f>SUM(R223:R224)</f>
      </c>
      <c r="S225" s="24">
        <f>SUM(S223:S224)</f>
      </c>
      <c r="T225" s="24">
        <f>SUM(T223:T224)</f>
      </c>
      <c r="U225" s="24">
        <f>SUM(U223:U224)</f>
      </c>
      <c r="V225" s="24">
        <f>SUM(V223:V224)</f>
      </c>
      <c r="W225" s="24">
        <f>SUM(W223:W224)</f>
      </c>
      <c r="X225" s="24">
        <f>SUM(X223:X224)</f>
      </c>
    </row>
    <row r="226" spans="1:24" x14ac:dyDescent="0.25">
      <c r="A226" s="20" t="s">
        <v>39</v>
      </c>
      <c r="B226" s="20" t="s">
        <v>124</v>
      </c>
      <c r="C226" s="21">
        <f>SUM(E226,G226,I226,K226,M226,O226,Q226,S226,U226,W226)</f>
      </c>
      <c r="D226" s="21">
        <f>SUM(F226,H226,J226,L226,N226,P226,R226,T226,V226,X226)</f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0</v>
      </c>
      <c r="P226" s="22">
        <v>0</v>
      </c>
      <c r="Q226" s="22">
        <v>0</v>
      </c>
      <c r="R226" s="22">
        <v>0</v>
      </c>
      <c r="S226" s="22">
        <v>0</v>
      </c>
      <c r="T226" s="22">
        <v>0</v>
      </c>
      <c r="U226" s="22">
        <v>0</v>
      </c>
      <c r="V226" s="22">
        <v>0</v>
      </c>
      <c r="W226" s="22">
        <v>0</v>
      </c>
      <c r="X226" s="22">
        <v>0</v>
      </c>
    </row>
    <row r="227" spans="1:24" x14ac:dyDescent="0.25">
      <c r="A227" s="20"/>
      <c r="B227" s="20" t="s">
        <v>125</v>
      </c>
      <c r="C227" s="21">
        <f>SUM(E227,G227,I227,K227,M227,O227,Q227,S227,U227,W227)</f>
      </c>
      <c r="D227" s="21">
        <f>SUM(F227,H227,J227,L227,N227,P227,R227,T227,V227,X227)</f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0</v>
      </c>
      <c r="S227" s="22">
        <v>0</v>
      </c>
      <c r="T227" s="22">
        <v>0</v>
      </c>
      <c r="U227" s="22">
        <v>0</v>
      </c>
      <c r="V227" s="22">
        <v>0</v>
      </c>
      <c r="W227" s="22">
        <v>0</v>
      </c>
      <c r="X227" s="22">
        <v>0</v>
      </c>
    </row>
    <row r="228" spans="1:24" x14ac:dyDescent="0.25">
      <c r="A228" s="23" t="s">
        <v>79</v>
      </c>
      <c r="B228" s="23" t="s">
        <v>39</v>
      </c>
      <c r="C228" s="24">
        <f>SUM(C226:C227)</f>
      </c>
      <c r="D228" s="24">
        <f>SUM(D226:D227)</f>
      </c>
      <c r="E228" s="24">
        <f>SUM(E226:E227)</f>
      </c>
      <c r="F228" s="24">
        <f>SUM(F226:F227)</f>
      </c>
      <c r="G228" s="24">
        <f>SUM(G226:G227)</f>
      </c>
      <c r="H228" s="24">
        <f>SUM(H226:H227)</f>
      </c>
      <c r="I228" s="24">
        <f>SUM(I226:I227)</f>
      </c>
      <c r="J228" s="24">
        <f>SUM(J226:J227)</f>
      </c>
      <c r="K228" s="24">
        <f>SUM(K226:K227)</f>
      </c>
      <c r="L228" s="24">
        <f>SUM(L226:L227)</f>
      </c>
      <c r="M228" s="24">
        <f>SUM(M226:M227)</f>
      </c>
      <c r="N228" s="24">
        <f>SUM(N226:N227)</f>
      </c>
      <c r="O228" s="24">
        <f>SUM(O226:O227)</f>
      </c>
      <c r="P228" s="24">
        <f>SUM(P226:P227)</f>
      </c>
      <c r="Q228" s="24">
        <f>SUM(Q226:Q227)</f>
      </c>
      <c r="R228" s="24">
        <f>SUM(R226:R227)</f>
      </c>
      <c r="S228" s="24">
        <f>SUM(S226:S227)</f>
      </c>
      <c r="T228" s="24">
        <f>SUM(T226:T227)</f>
      </c>
      <c r="U228" s="24">
        <f>SUM(U226:U227)</f>
      </c>
      <c r="V228" s="24">
        <f>SUM(V226:V227)</f>
      </c>
      <c r="W228" s="24">
        <f>SUM(W226:W227)</f>
      </c>
      <c r="X228" s="24">
        <f>SUM(X226:X227)</f>
      </c>
    </row>
    <row r="229" spans="1:24" x14ac:dyDescent="0.25">
      <c r="A229" s="20" t="s">
        <v>40</v>
      </c>
      <c r="B229" s="20" t="s">
        <v>124</v>
      </c>
      <c r="C229" s="21">
        <f>SUM(E229,G229,I229,K229,M229,O229,Q229,S229,U229,W229)</f>
      </c>
      <c r="D229" s="21">
        <f>SUM(F229,H229,J229,L229,N229,P229,R229,T229,V229,X229)</f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0</v>
      </c>
      <c r="S229" s="22">
        <v>0</v>
      </c>
      <c r="T229" s="22">
        <v>0</v>
      </c>
      <c r="U229" s="22">
        <v>0</v>
      </c>
      <c r="V229" s="22">
        <v>0</v>
      </c>
      <c r="W229" s="22">
        <v>0</v>
      </c>
      <c r="X229" s="22">
        <v>0</v>
      </c>
    </row>
    <row r="230" spans="1:24" x14ac:dyDescent="0.25">
      <c r="A230" s="20"/>
      <c r="B230" s="20" t="s">
        <v>125</v>
      </c>
      <c r="C230" s="21">
        <f>SUM(E230,G230,I230,K230,M230,O230,Q230,S230,U230,W230)</f>
      </c>
      <c r="D230" s="21">
        <f>SUM(F230,H230,J230,L230,N230,P230,R230,T230,V230,X230)</f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>
        <v>0</v>
      </c>
      <c r="M230" s="22">
        <v>0</v>
      </c>
      <c r="N230" s="22">
        <v>0</v>
      </c>
      <c r="O230" s="22">
        <v>0</v>
      </c>
      <c r="P230" s="22">
        <v>0</v>
      </c>
      <c r="Q230" s="22">
        <v>0</v>
      </c>
      <c r="R230" s="22">
        <v>0</v>
      </c>
      <c r="S230" s="22">
        <v>0</v>
      </c>
      <c r="T230" s="22">
        <v>0</v>
      </c>
      <c r="U230" s="22">
        <v>0</v>
      </c>
      <c r="V230" s="22">
        <v>0</v>
      </c>
      <c r="W230" s="22">
        <v>0</v>
      </c>
      <c r="X230" s="22">
        <v>0</v>
      </c>
    </row>
    <row r="231" spans="1:24" x14ac:dyDescent="0.25">
      <c r="A231" s="23" t="s">
        <v>79</v>
      </c>
      <c r="B231" s="23" t="s">
        <v>40</v>
      </c>
      <c r="C231" s="24">
        <f>SUM(C229:C230)</f>
      </c>
      <c r="D231" s="24">
        <f>SUM(D229:D230)</f>
      </c>
      <c r="E231" s="24">
        <f>SUM(E229:E230)</f>
      </c>
      <c r="F231" s="24">
        <f>SUM(F229:F230)</f>
      </c>
      <c r="G231" s="24">
        <f>SUM(G229:G230)</f>
      </c>
      <c r="H231" s="24">
        <f>SUM(H229:H230)</f>
      </c>
      <c r="I231" s="24">
        <f>SUM(I229:I230)</f>
      </c>
      <c r="J231" s="24">
        <f>SUM(J229:J230)</f>
      </c>
      <c r="K231" s="24">
        <f>SUM(K229:K230)</f>
      </c>
      <c r="L231" s="24">
        <f>SUM(L229:L230)</f>
      </c>
      <c r="M231" s="24">
        <f>SUM(M229:M230)</f>
      </c>
      <c r="N231" s="24">
        <f>SUM(N229:N230)</f>
      </c>
      <c r="O231" s="24">
        <f>SUM(O229:O230)</f>
      </c>
      <c r="P231" s="24">
        <f>SUM(P229:P230)</f>
      </c>
      <c r="Q231" s="24">
        <f>SUM(Q229:Q230)</f>
      </c>
      <c r="R231" s="24">
        <f>SUM(R229:R230)</f>
      </c>
      <c r="S231" s="24">
        <f>SUM(S229:S230)</f>
      </c>
      <c r="T231" s="24">
        <f>SUM(T229:T230)</f>
      </c>
      <c r="U231" s="24">
        <f>SUM(U229:U230)</f>
      </c>
      <c r="V231" s="24">
        <f>SUM(V229:V230)</f>
      </c>
      <c r="W231" s="24">
        <f>SUM(W229:W230)</f>
      </c>
      <c r="X231" s="24">
        <f>SUM(X229:X230)</f>
      </c>
    </row>
    <row r="232" spans="1:24" x14ac:dyDescent="0.25">
      <c r="A232" s="23" t="s">
        <v>126</v>
      </c>
      <c r="B232" s="23" t="s">
        <v>124</v>
      </c>
      <c r="C232" s="24">
        <f>SUM(C223,C226,C229)</f>
      </c>
      <c r="D232" s="24">
        <f>SUM(D223,D226,D229)</f>
      </c>
      <c r="E232" s="24">
        <f>SUM(E223,E226,E229)</f>
      </c>
      <c r="F232" s="24">
        <f>SUM(F223,F226,F229)</f>
      </c>
      <c r="G232" s="24">
        <f>SUM(G223,G226,G229)</f>
      </c>
      <c r="H232" s="24">
        <f>SUM(H223,H226,H229)</f>
      </c>
      <c r="I232" s="24">
        <f>SUM(I223,I226,I229)</f>
      </c>
      <c r="J232" s="24">
        <f>SUM(J223,J226,J229)</f>
      </c>
      <c r="K232" s="24">
        <f>SUM(K223,K226,K229)</f>
      </c>
      <c r="L232" s="24">
        <f>SUM(L223,L226,L229)</f>
      </c>
      <c r="M232" s="24">
        <f>SUM(M223,M226,M229)</f>
      </c>
      <c r="N232" s="24">
        <f>SUM(N223,N226,N229)</f>
      </c>
      <c r="O232" s="24">
        <f>SUM(O223,O226,O229)</f>
      </c>
      <c r="P232" s="24">
        <f>SUM(P223,P226,P229)</f>
      </c>
      <c r="Q232" s="24">
        <f>SUM(Q223,Q226,Q229)</f>
      </c>
      <c r="R232" s="24">
        <f>SUM(R223,R226,R229)</f>
      </c>
      <c r="S232" s="24">
        <f>SUM(S223,S226,S229)</f>
      </c>
      <c r="T232" s="24">
        <f>SUM(T223,T226,T229)</f>
      </c>
      <c r="U232" s="24">
        <f>SUM(U223,U226,U229)</f>
      </c>
      <c r="V232" s="24">
        <f>SUM(V223,V226,V229)</f>
      </c>
      <c r="W232" s="24">
        <f>SUM(W223,W226,W229)</f>
      </c>
      <c r="X232" s="24">
        <f>SUM(X223,X226,X229)</f>
      </c>
    </row>
    <row r="233" spans="1:24" x14ac:dyDescent="0.25">
      <c r="A233" s="23" t="s">
        <v>126</v>
      </c>
      <c r="B233" s="23" t="s">
        <v>125</v>
      </c>
      <c r="C233" s="24">
        <f>SUM(C224,C227,C230)</f>
      </c>
      <c r="D233" s="24">
        <f>SUM(D224,D227,D230)</f>
      </c>
      <c r="E233" s="24">
        <f>SUM(E224,E227,E230)</f>
      </c>
      <c r="F233" s="24">
        <f>SUM(F224,F227,F230)</f>
      </c>
      <c r="G233" s="24">
        <f>SUM(G224,G227,G230)</f>
      </c>
      <c r="H233" s="24">
        <f>SUM(H224,H227,H230)</f>
      </c>
      <c r="I233" s="24">
        <f>SUM(I224,I227,I230)</f>
      </c>
      <c r="J233" s="24">
        <f>SUM(J224,J227,J230)</f>
      </c>
      <c r="K233" s="24">
        <f>SUM(K224,K227,K230)</f>
      </c>
      <c r="L233" s="24">
        <f>SUM(L224,L227,L230)</f>
      </c>
      <c r="M233" s="24">
        <f>SUM(M224,M227,M230)</f>
      </c>
      <c r="N233" s="24">
        <f>SUM(N224,N227,N230)</f>
      </c>
      <c r="O233" s="24">
        <f>SUM(O224,O227,O230)</f>
      </c>
      <c r="P233" s="24">
        <f>SUM(P224,P227,P230)</f>
      </c>
      <c r="Q233" s="24">
        <f>SUM(Q224,Q227,Q230)</f>
      </c>
      <c r="R233" s="24">
        <f>SUM(R224,R227,R230)</f>
      </c>
      <c r="S233" s="24">
        <f>SUM(S224,S227,S230)</f>
      </c>
      <c r="T233" s="24">
        <f>SUM(T224,T227,T230)</f>
      </c>
      <c r="U233" s="24">
        <f>SUM(U224,U227,U230)</f>
      </c>
      <c r="V233" s="24">
        <f>SUM(V224,V227,V230)</f>
      </c>
      <c r="W233" s="24">
        <f>SUM(W224,W227,W230)</f>
      </c>
      <c r="X233" s="24">
        <f>SUM(X224,X227,X230)</f>
      </c>
    </row>
    <row r="234" spans="1:24" x14ac:dyDescent="0.25">
      <c r="A234" s="23" t="s">
        <v>46</v>
      </c>
      <c r="B234" s="23" t="s">
        <v>127</v>
      </c>
      <c r="C234" s="24">
        <f>SUM(C225,C228,C231)</f>
      </c>
      <c r="D234" s="24">
        <f>SUM(D225,D228,D231)</f>
      </c>
      <c r="E234" s="24">
        <f>SUM(E225,E228,E231)</f>
      </c>
      <c r="F234" s="24">
        <f>SUM(F225,F228,F231)</f>
      </c>
      <c r="G234" s="24">
        <f>SUM(G225,G228,G231)</f>
      </c>
      <c r="H234" s="24">
        <f>SUM(H225,H228,H231)</f>
      </c>
      <c r="I234" s="24">
        <f>SUM(I225,I228,I231)</f>
      </c>
      <c r="J234" s="24">
        <f>SUM(J225,J228,J231)</f>
      </c>
      <c r="K234" s="24">
        <f>SUM(K225,K228,K231)</f>
      </c>
      <c r="L234" s="24">
        <f>SUM(L225,L228,L231)</f>
      </c>
      <c r="M234" s="24">
        <f>SUM(M225,M228,M231)</f>
      </c>
      <c r="N234" s="24">
        <f>SUM(N225,N228,N231)</f>
      </c>
      <c r="O234" s="24">
        <f>SUM(O225,O228,O231)</f>
      </c>
      <c r="P234" s="24">
        <f>SUM(P225,P228,P231)</f>
      </c>
      <c r="Q234" s="24">
        <f>SUM(Q225,Q228,Q231)</f>
      </c>
      <c r="R234" s="24">
        <f>SUM(R225,R228,R231)</f>
      </c>
      <c r="S234" s="24">
        <f>SUM(S225,S228,S231)</f>
      </c>
      <c r="T234" s="24">
        <f>SUM(T225,T228,T231)</f>
      </c>
      <c r="U234" s="24">
        <f>SUM(U225,U228,U231)</f>
      </c>
      <c r="V234" s="24">
        <f>SUM(V225,V228,V231)</f>
      </c>
      <c r="W234" s="24">
        <f>SUM(W225,W228,W231)</f>
      </c>
      <c r="X234" s="24">
        <f>SUM(X225,X228,X231)</f>
      </c>
    </row>
    <row r="238" spans="1:1" x14ac:dyDescent="0.25">
      <c r="A238" s="17" t="s">
        <v>128</v>
      </c>
    </row>
    <row r="240" spans="1:1" x14ac:dyDescent="0.25">
      <c r="A240" s="18" t="s">
        <v>129</v>
      </c>
    </row>
    <row r="242" spans="1:20" x14ac:dyDescent="0.25">
      <c r="A242" s="19" t="s">
        <v>84</v>
      </c>
      <c r="B242" s="19" t="s">
        <v>49</v>
      </c>
      <c r="C242" s="19" t="s">
        <v>17</v>
      </c>
      <c r="D242" s="19"/>
      <c r="E242" s="19" t="s">
        <v>130</v>
      </c>
      <c r="F242" s="19"/>
      <c r="G242" s="19" t="s">
        <v>112</v>
      </c>
      <c r="H242" s="19"/>
      <c r="I242" s="19" t="s">
        <v>96</v>
      </c>
      <c r="J242" s="19"/>
      <c r="K242" s="19" t="s">
        <v>97</v>
      </c>
      <c r="L242" s="19"/>
      <c r="M242" s="19" t="s">
        <v>98</v>
      </c>
      <c r="N242" s="19"/>
      <c r="O242" s="19" t="s">
        <v>99</v>
      </c>
      <c r="P242" s="19"/>
      <c r="Q242" s="19" t="s">
        <v>100</v>
      </c>
      <c r="R242" s="19"/>
      <c r="S242" s="19" t="s">
        <v>131</v>
      </c>
      <c r="T242" s="19"/>
    </row>
    <row r="243" spans="1:20" x14ac:dyDescent="0.25">
      <c r="A243" s="19"/>
      <c r="B243" s="19"/>
      <c r="C243" s="19" t="s">
        <v>33</v>
      </c>
      <c r="D243" s="19" t="s">
        <v>34</v>
      </c>
      <c r="E243" s="19" t="s">
        <v>35</v>
      </c>
      <c r="F243" s="19" t="s">
        <v>36</v>
      </c>
      <c r="G243" s="19" t="s">
        <v>35</v>
      </c>
      <c r="H243" s="19" t="s">
        <v>36</v>
      </c>
      <c r="I243" s="19" t="s">
        <v>35</v>
      </c>
      <c r="J243" s="19" t="s">
        <v>36</v>
      </c>
      <c r="K243" s="19" t="s">
        <v>35</v>
      </c>
      <c r="L243" s="19" t="s">
        <v>36</v>
      </c>
      <c r="M243" s="19" t="s">
        <v>35</v>
      </c>
      <c r="N243" s="19" t="s">
        <v>36</v>
      </c>
      <c r="O243" s="19" t="s">
        <v>35</v>
      </c>
      <c r="P243" s="19" t="s">
        <v>36</v>
      </c>
      <c r="Q243" s="19" t="s">
        <v>35</v>
      </c>
      <c r="R243" s="19" t="s">
        <v>36</v>
      </c>
      <c r="S243" s="19" t="s">
        <v>35</v>
      </c>
      <c r="T243" s="19" t="s">
        <v>36</v>
      </c>
    </row>
    <row r="245" spans="1:20" x14ac:dyDescent="0.25">
      <c r="A245" s="20" t="s">
        <v>38</v>
      </c>
      <c r="B245" s="20" t="s">
        <v>132</v>
      </c>
      <c r="C245" s="21">
        <f>SUM(E245,G245,I245,K245,M245,O245,Q245,S245)</f>
      </c>
      <c r="D245" s="21">
        <f>SUM(F245,H245,J245,L245,N245,P245,R245,T245)</f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2">
        <v>0</v>
      </c>
      <c r="O245" s="22">
        <v>0</v>
      </c>
      <c r="P245" s="22">
        <v>0</v>
      </c>
      <c r="Q245" s="22">
        <v>0</v>
      </c>
      <c r="R245" s="22">
        <v>0</v>
      </c>
      <c r="S245" s="22">
        <v>0</v>
      </c>
      <c r="T245" s="22">
        <v>0</v>
      </c>
    </row>
    <row r="246" spans="1:20" x14ac:dyDescent="0.25">
      <c r="A246" s="20"/>
      <c r="B246" s="20" t="s">
        <v>133</v>
      </c>
      <c r="C246" s="21">
        <f>SUM(E246,G246,I246,K246,M246,O246,Q246,S246)</f>
      </c>
      <c r="D246" s="21">
        <f>SUM(F246,H246,J246,L246,N246,P246,R246,T246)</f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2">
        <v>0</v>
      </c>
      <c r="M246" s="22">
        <v>0</v>
      </c>
      <c r="N246" s="22">
        <v>0</v>
      </c>
      <c r="O246" s="22">
        <v>0</v>
      </c>
      <c r="P246" s="22">
        <v>0</v>
      </c>
      <c r="Q246" s="22">
        <v>0</v>
      </c>
      <c r="R246" s="22">
        <v>0</v>
      </c>
      <c r="S246" s="22">
        <v>0</v>
      </c>
      <c r="T246" s="22">
        <v>0</v>
      </c>
    </row>
    <row r="247" spans="1:20" x14ac:dyDescent="0.25">
      <c r="A247" s="20"/>
      <c r="B247" s="20" t="s">
        <v>134</v>
      </c>
      <c r="C247" s="21">
        <f>SUM(E247,G247,I247,K247,M247,O247,Q247,S247)</f>
      </c>
      <c r="D247" s="21">
        <f>SUM(F247,H247,J247,L247,N247,P247,R247,T247)</f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0</v>
      </c>
      <c r="S247" s="22">
        <v>0</v>
      </c>
      <c r="T247" s="22">
        <v>0</v>
      </c>
    </row>
    <row r="248" spans="1:20" x14ac:dyDescent="0.25">
      <c r="A248" s="23" t="s">
        <v>79</v>
      </c>
      <c r="B248" s="23" t="s">
        <v>38</v>
      </c>
      <c r="C248" s="24">
        <f>SUM(C245:C247)</f>
      </c>
      <c r="D248" s="24">
        <f>SUM(D245:D247)</f>
      </c>
      <c r="E248" s="24">
        <f>SUM(E245:E247)</f>
      </c>
      <c r="F248" s="24">
        <f>SUM(F245:F247)</f>
      </c>
      <c r="G248" s="24">
        <f>SUM(G245:G247)</f>
      </c>
      <c r="H248" s="24">
        <f>SUM(H245:H247)</f>
      </c>
      <c r="I248" s="24">
        <f>SUM(I245:I247)</f>
      </c>
      <c r="J248" s="24">
        <f>SUM(J245:J247)</f>
      </c>
      <c r="K248" s="24">
        <f>SUM(K245:K247)</f>
      </c>
      <c r="L248" s="24">
        <f>SUM(L245:L247)</f>
      </c>
      <c r="M248" s="24">
        <f>SUM(M245:M247)</f>
      </c>
      <c r="N248" s="24">
        <f>SUM(N245:N247)</f>
      </c>
      <c r="O248" s="24">
        <f>SUM(O245:O247)</f>
      </c>
      <c r="P248" s="24">
        <f>SUM(P245:P247)</f>
      </c>
      <c r="Q248" s="24">
        <f>SUM(Q245:Q247)</f>
      </c>
      <c r="R248" s="24">
        <f>SUM(R245:R247)</f>
      </c>
      <c r="S248" s="24">
        <f>SUM(S245:S247)</f>
      </c>
      <c r="T248" s="24">
        <f>SUM(T245:T247)</f>
      </c>
    </row>
    <row r="249" spans="1:20" x14ac:dyDescent="0.25">
      <c r="A249" s="20" t="s">
        <v>39</v>
      </c>
      <c r="B249" s="20" t="s">
        <v>132</v>
      </c>
      <c r="C249" s="21">
        <f>SUM(E249,G249,I249,K249,M249,O249,Q249,S249)</f>
      </c>
      <c r="D249" s="21">
        <f>SUM(F249,H249,J249,L249,N249,P249,R249,T249)</f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0</v>
      </c>
      <c r="S249" s="22">
        <v>0</v>
      </c>
      <c r="T249" s="22">
        <v>0</v>
      </c>
    </row>
    <row r="250" spans="1:20" x14ac:dyDescent="0.25">
      <c r="A250" s="20"/>
      <c r="B250" s="20" t="s">
        <v>133</v>
      </c>
      <c r="C250" s="21">
        <f>SUM(E250,G250,I250,K250,M250,O250,Q250,S250)</f>
      </c>
      <c r="D250" s="21">
        <f>SUM(F250,H250,J250,L250,N250,P250,R250,T250)</f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0</v>
      </c>
      <c r="P250" s="22">
        <v>0</v>
      </c>
      <c r="Q250" s="22">
        <v>0</v>
      </c>
      <c r="R250" s="22">
        <v>0</v>
      </c>
      <c r="S250" s="22">
        <v>0</v>
      </c>
      <c r="T250" s="22">
        <v>0</v>
      </c>
    </row>
    <row r="251" spans="1:20" x14ac:dyDescent="0.25">
      <c r="A251" s="20"/>
      <c r="B251" s="20" t="s">
        <v>134</v>
      </c>
      <c r="C251" s="21">
        <f>SUM(E251,G251,I251,K251,M251,O251,Q251,S251)</f>
      </c>
      <c r="D251" s="21">
        <f>SUM(F251,H251,J251,L251,N251,P251,R251,T251)</f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0</v>
      </c>
      <c r="P251" s="22">
        <v>0</v>
      </c>
      <c r="Q251" s="22">
        <v>0</v>
      </c>
      <c r="R251" s="22">
        <v>0</v>
      </c>
      <c r="S251" s="22">
        <v>0</v>
      </c>
      <c r="T251" s="22">
        <v>0</v>
      </c>
    </row>
    <row r="252" spans="1:20" x14ac:dyDescent="0.25">
      <c r="A252" s="23" t="s">
        <v>79</v>
      </c>
      <c r="B252" s="23" t="s">
        <v>39</v>
      </c>
      <c r="C252" s="24">
        <f>SUM(C249:C251)</f>
      </c>
      <c r="D252" s="24">
        <f>SUM(D249:D251)</f>
      </c>
      <c r="E252" s="24">
        <f>SUM(E249:E251)</f>
      </c>
      <c r="F252" s="24">
        <f>SUM(F249:F251)</f>
      </c>
      <c r="G252" s="24">
        <f>SUM(G249:G251)</f>
      </c>
      <c r="H252" s="24">
        <f>SUM(H249:H251)</f>
      </c>
      <c r="I252" s="24">
        <f>SUM(I249:I251)</f>
      </c>
      <c r="J252" s="24">
        <f>SUM(J249:J251)</f>
      </c>
      <c r="K252" s="24">
        <f>SUM(K249:K251)</f>
      </c>
      <c r="L252" s="24">
        <f>SUM(L249:L251)</f>
      </c>
      <c r="M252" s="24">
        <f>SUM(M249:M251)</f>
      </c>
      <c r="N252" s="24">
        <f>SUM(N249:N251)</f>
      </c>
      <c r="O252" s="24">
        <f>SUM(O249:O251)</f>
      </c>
      <c r="P252" s="24">
        <f>SUM(P249:P251)</f>
      </c>
      <c r="Q252" s="24">
        <f>SUM(Q249:Q251)</f>
      </c>
      <c r="R252" s="24">
        <f>SUM(R249:R251)</f>
      </c>
      <c r="S252" s="24">
        <f>SUM(S249:S251)</f>
      </c>
      <c r="T252" s="24">
        <f>SUM(T249:T251)</f>
      </c>
    </row>
    <row r="253" spans="1:20" x14ac:dyDescent="0.25">
      <c r="A253" s="20" t="s">
        <v>40</v>
      </c>
      <c r="B253" s="20" t="s">
        <v>132</v>
      </c>
      <c r="C253" s="21">
        <f>SUM(E253,G253,I253,K253,M253,O253,Q253,S253)</f>
      </c>
      <c r="D253" s="21">
        <f>SUM(F253,H253,J253,L253,N253,P253,R253,T253)</f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  <c r="K253" s="22">
        <v>0</v>
      </c>
      <c r="L253" s="22">
        <v>0</v>
      </c>
      <c r="M253" s="22">
        <v>0</v>
      </c>
      <c r="N253" s="22">
        <v>0</v>
      </c>
      <c r="O253" s="22">
        <v>0</v>
      </c>
      <c r="P253" s="22">
        <v>0</v>
      </c>
      <c r="Q253" s="22">
        <v>0</v>
      </c>
      <c r="R253" s="22">
        <v>0</v>
      </c>
      <c r="S253" s="22">
        <v>0</v>
      </c>
      <c r="T253" s="22">
        <v>0</v>
      </c>
    </row>
    <row r="254" spans="1:20" x14ac:dyDescent="0.25">
      <c r="A254" s="20"/>
      <c r="B254" s="20" t="s">
        <v>133</v>
      </c>
      <c r="C254" s="21">
        <f>SUM(E254,G254,I254,K254,M254,O254,Q254,S254)</f>
      </c>
      <c r="D254" s="21">
        <f>SUM(F254,H254,J254,L254,N254,P254,R254,T254)</f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2">
        <v>0</v>
      </c>
      <c r="O254" s="22">
        <v>0</v>
      </c>
      <c r="P254" s="22">
        <v>0</v>
      </c>
      <c r="Q254" s="22">
        <v>0</v>
      </c>
      <c r="R254" s="22">
        <v>0</v>
      </c>
      <c r="S254" s="22">
        <v>0</v>
      </c>
      <c r="T254" s="22">
        <v>0</v>
      </c>
    </row>
    <row r="255" spans="1:20" x14ac:dyDescent="0.25">
      <c r="A255" s="20"/>
      <c r="B255" s="20" t="s">
        <v>134</v>
      </c>
      <c r="C255" s="21">
        <f>SUM(E255,G255,I255,K255,M255,O255,Q255,S255)</f>
      </c>
      <c r="D255" s="21">
        <f>SUM(F255,H255,J255,L255,N255,P255,R255,T255)</f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2">
        <v>0</v>
      </c>
      <c r="O255" s="22">
        <v>0</v>
      </c>
      <c r="P255" s="22">
        <v>0</v>
      </c>
      <c r="Q255" s="22">
        <v>0</v>
      </c>
      <c r="R255" s="22">
        <v>0</v>
      </c>
      <c r="S255" s="22">
        <v>0</v>
      </c>
      <c r="T255" s="22">
        <v>0</v>
      </c>
    </row>
    <row r="256" spans="1:20" x14ac:dyDescent="0.25">
      <c r="A256" s="23" t="s">
        <v>79</v>
      </c>
      <c r="B256" s="23" t="s">
        <v>40</v>
      </c>
      <c r="C256" s="24">
        <f>SUM(C253:C255)</f>
      </c>
      <c r="D256" s="24">
        <f>SUM(D253:D255)</f>
      </c>
      <c r="E256" s="24">
        <f>SUM(E253:E255)</f>
      </c>
      <c r="F256" s="24">
        <f>SUM(F253:F255)</f>
      </c>
      <c r="G256" s="24">
        <f>SUM(G253:G255)</f>
      </c>
      <c r="H256" s="24">
        <f>SUM(H253:H255)</f>
      </c>
      <c r="I256" s="24">
        <f>SUM(I253:I255)</f>
      </c>
      <c r="J256" s="24">
        <f>SUM(J253:J255)</f>
      </c>
      <c r="K256" s="24">
        <f>SUM(K253:K255)</f>
      </c>
      <c r="L256" s="24">
        <f>SUM(L253:L255)</f>
      </c>
      <c r="M256" s="24">
        <f>SUM(M253:M255)</f>
      </c>
      <c r="N256" s="24">
        <f>SUM(N253:N255)</f>
      </c>
      <c r="O256" s="24">
        <f>SUM(O253:O255)</f>
      </c>
      <c r="P256" s="24">
        <f>SUM(P253:P255)</f>
      </c>
      <c r="Q256" s="24">
        <f>SUM(Q253:Q255)</f>
      </c>
      <c r="R256" s="24">
        <f>SUM(R253:R255)</f>
      </c>
      <c r="S256" s="24">
        <f>SUM(S253:S255)</f>
      </c>
      <c r="T256" s="24">
        <f>SUM(T253:T255)</f>
      </c>
    </row>
    <row r="257" spans="1:20" x14ac:dyDescent="0.25">
      <c r="A257" s="23" t="s">
        <v>81</v>
      </c>
      <c r="B257" s="23" t="s">
        <v>132</v>
      </c>
      <c r="C257" s="24">
        <f>SUM(C245,C249,C253)</f>
      </c>
      <c r="D257" s="24">
        <f>SUM(D245,D249,D253)</f>
      </c>
      <c r="E257" s="24">
        <f>SUM(E245,E249,E253)</f>
      </c>
      <c r="F257" s="24">
        <f>SUM(F245,F249,F253)</f>
      </c>
      <c r="G257" s="24">
        <f>SUM(G245,G249,G253)</f>
      </c>
      <c r="H257" s="24">
        <f>SUM(H245,H249,H253)</f>
      </c>
      <c r="I257" s="24">
        <f>SUM(I245,I249,I253)</f>
      </c>
      <c r="J257" s="24">
        <f>SUM(J245,J249,J253)</f>
      </c>
      <c r="K257" s="24">
        <f>SUM(K245,K249,K253)</f>
      </c>
      <c r="L257" s="24">
        <f>SUM(L245,L249,L253)</f>
      </c>
      <c r="M257" s="24">
        <f>SUM(M245,M249,M253)</f>
      </c>
      <c r="N257" s="24">
        <f>SUM(N245,N249,N253)</f>
      </c>
      <c r="O257" s="24">
        <f>SUM(O245,O249,O253)</f>
      </c>
      <c r="P257" s="24">
        <f>SUM(P245,P249,P253)</f>
      </c>
      <c r="Q257" s="24">
        <f>SUM(Q245,Q249,Q253)</f>
      </c>
      <c r="R257" s="24">
        <f>SUM(R245,R249,R253)</f>
      </c>
      <c r="S257" s="24">
        <f>SUM(S245,S249,S253)</f>
      </c>
      <c r="T257" s="24">
        <f>SUM(T245,T249,T253)</f>
      </c>
    </row>
    <row r="258" spans="1:20" x14ac:dyDescent="0.25">
      <c r="A258" s="23" t="s">
        <v>81</v>
      </c>
      <c r="B258" s="23" t="s">
        <v>133</v>
      </c>
      <c r="C258" s="24">
        <f>SUM(C246,C250,C254)</f>
      </c>
      <c r="D258" s="24">
        <f>SUM(D246,D250,D254)</f>
      </c>
      <c r="E258" s="24">
        <f>SUM(E246,E250,E254)</f>
      </c>
      <c r="F258" s="24">
        <f>SUM(F246,F250,F254)</f>
      </c>
      <c r="G258" s="24">
        <f>SUM(G246,G250,G254)</f>
      </c>
      <c r="H258" s="24">
        <f>SUM(H246,H250,H254)</f>
      </c>
      <c r="I258" s="24">
        <f>SUM(I246,I250,I254)</f>
      </c>
      <c r="J258" s="24">
        <f>SUM(J246,J250,J254)</f>
      </c>
      <c r="K258" s="24">
        <f>SUM(K246,K250,K254)</f>
      </c>
      <c r="L258" s="24">
        <f>SUM(L246,L250,L254)</f>
      </c>
      <c r="M258" s="24">
        <f>SUM(M246,M250,M254)</f>
      </c>
      <c r="N258" s="24">
        <f>SUM(N246,N250,N254)</f>
      </c>
      <c r="O258" s="24">
        <f>SUM(O246,O250,O254)</f>
      </c>
      <c r="P258" s="24">
        <f>SUM(P246,P250,P254)</f>
      </c>
      <c r="Q258" s="24">
        <f>SUM(Q246,Q250,Q254)</f>
      </c>
      <c r="R258" s="24">
        <f>SUM(R246,R250,R254)</f>
      </c>
      <c r="S258" s="24">
        <f>SUM(S246,S250,S254)</f>
      </c>
      <c r="T258" s="24">
        <f>SUM(T246,T250,T254)</f>
      </c>
    </row>
    <row r="259" spans="1:20" x14ac:dyDescent="0.25">
      <c r="A259" s="23" t="s">
        <v>81</v>
      </c>
      <c r="B259" s="23" t="s">
        <v>134</v>
      </c>
      <c r="C259" s="24">
        <f>SUM(C247,C251,C255)</f>
      </c>
      <c r="D259" s="24">
        <f>SUM(D247,D251,D255)</f>
      </c>
      <c r="E259" s="24">
        <f>SUM(E247,E251,E255)</f>
      </c>
      <c r="F259" s="24">
        <f>SUM(F247,F251,F255)</f>
      </c>
      <c r="G259" s="24">
        <f>SUM(G247,G251,G255)</f>
      </c>
      <c r="H259" s="24">
        <f>SUM(H247,H251,H255)</f>
      </c>
      <c r="I259" s="24">
        <f>SUM(I247,I251,I255)</f>
      </c>
      <c r="J259" s="24">
        <f>SUM(J247,J251,J255)</f>
      </c>
      <c r="K259" s="24">
        <f>SUM(K247,K251,K255)</f>
      </c>
      <c r="L259" s="24">
        <f>SUM(L247,L251,L255)</f>
      </c>
      <c r="M259" s="24">
        <f>SUM(M247,M251,M255)</f>
      </c>
      <c r="N259" s="24">
        <f>SUM(N247,N251,N255)</f>
      </c>
      <c r="O259" s="24">
        <f>SUM(O247,O251,O255)</f>
      </c>
      <c r="P259" s="24">
        <f>SUM(P247,P251,P255)</f>
      </c>
      <c r="Q259" s="24">
        <f>SUM(Q247,Q251,Q255)</f>
      </c>
      <c r="R259" s="24">
        <f>SUM(R247,R251,R255)</f>
      </c>
      <c r="S259" s="24">
        <f>SUM(S247,S251,S255)</f>
      </c>
      <c r="T259" s="24">
        <f>SUM(T247,T251,T255)</f>
      </c>
    </row>
    <row r="260" spans="1:20" x14ac:dyDescent="0.25">
      <c r="A260" s="23" t="s">
        <v>46</v>
      </c>
      <c r="B260" s="23" t="s">
        <v>135</v>
      </c>
      <c r="C260" s="24">
        <f>SUM(C248,C252,C256)</f>
      </c>
      <c r="D260" s="24">
        <f>SUM(D248,D252,D256)</f>
      </c>
      <c r="E260" s="24">
        <f>SUM(E248,E252,E256)</f>
      </c>
      <c r="F260" s="24">
        <f>SUM(F248,F252,F256)</f>
      </c>
      <c r="G260" s="24">
        <f>SUM(G248,G252,G256)</f>
      </c>
      <c r="H260" s="24">
        <f>SUM(H248,H252,H256)</f>
      </c>
      <c r="I260" s="24">
        <f>SUM(I248,I252,I256)</f>
      </c>
      <c r="J260" s="24">
        <f>SUM(J248,J252,J256)</f>
      </c>
      <c r="K260" s="24">
        <f>SUM(K248,K252,K256)</f>
      </c>
      <c r="L260" s="24">
        <f>SUM(L248,L252,L256)</f>
      </c>
      <c r="M260" s="24">
        <f>SUM(M248,M252,M256)</f>
      </c>
      <c r="N260" s="24">
        <f>SUM(N248,N252,N256)</f>
      </c>
      <c r="O260" s="24">
        <f>SUM(O248,O252,O256)</f>
      </c>
      <c r="P260" s="24">
        <f>SUM(P248,P252,P256)</f>
      </c>
      <c r="Q260" s="24">
        <f>SUM(Q248,Q252,Q256)</f>
      </c>
      <c r="R260" s="24">
        <f>SUM(R248,R252,R256)</f>
      </c>
      <c r="S260" s="24">
        <f>SUM(S248,S252,S256)</f>
      </c>
      <c r="T260" s="24">
        <f>SUM(T248,T252,T256)</f>
      </c>
    </row>
    <row r="263" spans="1:1" x14ac:dyDescent="0.25">
      <c r="A263" s="18" t="s">
        <v>136</v>
      </c>
    </row>
    <row r="265" spans="1:20" x14ac:dyDescent="0.25">
      <c r="A265" s="19" t="s">
        <v>84</v>
      </c>
      <c r="B265" s="19" t="s">
        <v>49</v>
      </c>
      <c r="C265" s="19" t="s">
        <v>17</v>
      </c>
      <c r="D265" s="19"/>
      <c r="E265" s="19" t="s">
        <v>60</v>
      </c>
      <c r="F265" s="19"/>
      <c r="G265" s="19" t="s">
        <v>61</v>
      </c>
      <c r="H265" s="19"/>
      <c r="I265" s="19" t="s">
        <v>62</v>
      </c>
      <c r="J265" s="19"/>
      <c r="K265" s="19" t="s">
        <v>63</v>
      </c>
      <c r="L265" s="19"/>
      <c r="M265" s="19" t="s">
        <v>64</v>
      </c>
      <c r="N265" s="19"/>
      <c r="O265" s="19" t="s">
        <v>65</v>
      </c>
      <c r="P265" s="19"/>
      <c r="Q265" s="19" t="s">
        <v>66</v>
      </c>
      <c r="R265" s="19"/>
      <c r="S265" s="19" t="s">
        <v>67</v>
      </c>
      <c r="T265" s="19"/>
    </row>
    <row r="266" spans="1:20" x14ac:dyDescent="0.25">
      <c r="A266" s="19"/>
      <c r="B266" s="19"/>
      <c r="C266" s="19" t="s">
        <v>33</v>
      </c>
      <c r="D266" s="19" t="s">
        <v>34</v>
      </c>
      <c r="E266" s="19" t="s">
        <v>35</v>
      </c>
      <c r="F266" s="19" t="s">
        <v>36</v>
      </c>
      <c r="G266" s="19" t="s">
        <v>35</v>
      </c>
      <c r="H266" s="19" t="s">
        <v>36</v>
      </c>
      <c r="I266" s="19" t="s">
        <v>35</v>
      </c>
      <c r="J266" s="19" t="s">
        <v>36</v>
      </c>
      <c r="K266" s="19" t="s">
        <v>35</v>
      </c>
      <c r="L266" s="19" t="s">
        <v>36</v>
      </c>
      <c r="M266" s="19" t="s">
        <v>35</v>
      </c>
      <c r="N266" s="19" t="s">
        <v>36</v>
      </c>
      <c r="O266" s="19" t="s">
        <v>35</v>
      </c>
      <c r="P266" s="19" t="s">
        <v>36</v>
      </c>
      <c r="Q266" s="19" t="s">
        <v>35</v>
      </c>
      <c r="R266" s="19" t="s">
        <v>36</v>
      </c>
      <c r="S266" s="19" t="s">
        <v>35</v>
      </c>
      <c r="T266" s="19" t="s">
        <v>36</v>
      </c>
    </row>
    <row r="267" spans="1:20" x14ac:dyDescent="0.25">
      <c r="A267" s="20" t="s">
        <v>38</v>
      </c>
      <c r="B267" s="20" t="s">
        <v>132</v>
      </c>
      <c r="C267" s="21">
        <f>SUM(E267,G267,I267,K267,M267,O267,Q267,S267)</f>
      </c>
      <c r="D267" s="21">
        <f>SUM(F267,H267,J267,L267,N267,P267,R267,T267)</f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2">
        <v>0</v>
      </c>
      <c r="O267" s="22">
        <v>0</v>
      </c>
      <c r="P267" s="22">
        <v>0</v>
      </c>
      <c r="Q267" s="22">
        <v>0</v>
      </c>
      <c r="R267" s="22">
        <v>0</v>
      </c>
      <c r="S267" s="22">
        <v>0</v>
      </c>
      <c r="T267" s="22">
        <v>0</v>
      </c>
    </row>
    <row r="268" spans="1:20" x14ac:dyDescent="0.25">
      <c r="A268" s="20"/>
      <c r="B268" s="20" t="s">
        <v>133</v>
      </c>
      <c r="C268" s="21">
        <f>SUM(E268,G268,I268,K268,M268,O268,Q268,S268)</f>
      </c>
      <c r="D268" s="21">
        <f>SUM(F268,H268,J268,L268,N268,P268,R268,T268)</f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  <c r="S268" s="22">
        <v>0</v>
      </c>
      <c r="T268" s="22">
        <v>0</v>
      </c>
    </row>
    <row r="269" spans="1:20" x14ac:dyDescent="0.25">
      <c r="A269" s="20"/>
      <c r="B269" s="20" t="s">
        <v>134</v>
      </c>
      <c r="C269" s="21">
        <f>SUM(E269,G269,I269,K269,M269,O269,Q269,S269)</f>
      </c>
      <c r="D269" s="21">
        <f>SUM(F269,H269,J269,L269,N269,P269,R269,T269)</f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0</v>
      </c>
      <c r="P269" s="22">
        <v>0</v>
      </c>
      <c r="Q269" s="22">
        <v>0</v>
      </c>
      <c r="R269" s="22">
        <v>0</v>
      </c>
      <c r="S269" s="22">
        <v>0</v>
      </c>
      <c r="T269" s="22">
        <v>0</v>
      </c>
    </row>
    <row r="270" spans="1:20" x14ac:dyDescent="0.25">
      <c r="A270" s="20"/>
      <c r="B270" s="20" t="s">
        <v>137</v>
      </c>
      <c r="C270" s="21">
        <f>SUM(E270,G270,I270,K270,M270,O270,Q270,S270)</f>
      </c>
      <c r="D270" s="21">
        <f>SUM(F270,H270,J270,L270,N270,P270,R270,T270)</f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22">
        <v>0</v>
      </c>
      <c r="S270" s="22">
        <v>0</v>
      </c>
      <c r="T270" s="22">
        <v>0</v>
      </c>
    </row>
    <row r="271" spans="1:20" x14ac:dyDescent="0.25">
      <c r="A271" s="23" t="s">
        <v>17</v>
      </c>
      <c r="B271" s="23" t="s">
        <v>138</v>
      </c>
      <c r="C271" s="24">
        <f>SUM(C267:C270)</f>
      </c>
      <c r="D271" s="24">
        <f>SUM(D267:D270)</f>
      </c>
      <c r="E271" s="24">
        <f>SUM(E267:E270)</f>
      </c>
      <c r="F271" s="24">
        <f>SUM(F267:F270)</f>
      </c>
      <c r="G271" s="24">
        <f>SUM(G267:G270)</f>
      </c>
      <c r="H271" s="24">
        <f>SUM(H267:H270)</f>
      </c>
      <c r="I271" s="24">
        <f>SUM(I267:I270)</f>
      </c>
      <c r="J271" s="24">
        <f>SUM(J267:J270)</f>
      </c>
      <c r="K271" s="24">
        <f>SUM(K267:K270)</f>
      </c>
      <c r="L271" s="24">
        <f>SUM(L267:L270)</f>
      </c>
      <c r="M271" s="24">
        <f>SUM(M267:M270)</f>
      </c>
      <c r="N271" s="24">
        <f>SUM(N267:N270)</f>
      </c>
      <c r="O271" s="24">
        <f>SUM(O267:O270)</f>
      </c>
      <c r="P271" s="24">
        <f>SUM(P267:P270)</f>
      </c>
      <c r="Q271" s="24">
        <f>SUM(Q267:Q270)</f>
      </c>
      <c r="R271" s="24">
        <f>SUM(R267:R270)</f>
      </c>
      <c r="S271" s="24">
        <f>SUM(S267:S270)</f>
      </c>
      <c r="T271" s="24">
        <f>SUM(T267:T270)</f>
      </c>
    </row>
    <row r="274" spans="1:1" x14ac:dyDescent="0.25">
      <c r="A274" s="18" t="s">
        <v>139</v>
      </c>
    </row>
    <row r="276" spans="1:20" x14ac:dyDescent="0.25">
      <c r="A276" s="19" t="s">
        <v>84</v>
      </c>
      <c r="B276" s="19" t="s">
        <v>49</v>
      </c>
      <c r="C276" s="19" t="s">
        <v>17</v>
      </c>
      <c r="D276" s="19"/>
      <c r="E276" s="19" t="s">
        <v>130</v>
      </c>
      <c r="F276" s="19"/>
      <c r="G276" s="19" t="s">
        <v>112</v>
      </c>
      <c r="H276" s="19"/>
      <c r="I276" s="19" t="s">
        <v>96</v>
      </c>
      <c r="J276" s="19"/>
      <c r="K276" s="19" t="s">
        <v>97</v>
      </c>
      <c r="L276" s="19"/>
      <c r="M276" s="19" t="s">
        <v>98</v>
      </c>
      <c r="N276" s="19"/>
      <c r="O276" s="19" t="s">
        <v>99</v>
      </c>
      <c r="P276" s="19"/>
      <c r="Q276" s="19" t="s">
        <v>100</v>
      </c>
      <c r="R276" s="19"/>
      <c r="S276" s="19" t="s">
        <v>131</v>
      </c>
      <c r="T276" s="19"/>
    </row>
    <row r="277" spans="1:20" x14ac:dyDescent="0.25">
      <c r="A277" s="19"/>
      <c r="B277" s="19"/>
      <c r="C277" s="19" t="s">
        <v>33</v>
      </c>
      <c r="D277" s="19" t="s">
        <v>34</v>
      </c>
      <c r="E277" s="19" t="s">
        <v>35</v>
      </c>
      <c r="F277" s="19" t="s">
        <v>36</v>
      </c>
      <c r="G277" s="19" t="s">
        <v>35</v>
      </c>
      <c r="H277" s="19" t="s">
        <v>36</v>
      </c>
      <c r="I277" s="19" t="s">
        <v>35</v>
      </c>
      <c r="J277" s="19" t="s">
        <v>36</v>
      </c>
      <c r="K277" s="19" t="s">
        <v>35</v>
      </c>
      <c r="L277" s="19" t="s">
        <v>36</v>
      </c>
      <c r="M277" s="19" t="s">
        <v>35</v>
      </c>
      <c r="N277" s="19" t="s">
        <v>36</v>
      </c>
      <c r="O277" s="19" t="s">
        <v>35</v>
      </c>
      <c r="P277" s="19" t="s">
        <v>36</v>
      </c>
      <c r="Q277" s="19" t="s">
        <v>35</v>
      </c>
      <c r="R277" s="19" t="s">
        <v>36</v>
      </c>
      <c r="S277" s="19" t="s">
        <v>35</v>
      </c>
      <c r="T277" s="19" t="s">
        <v>36</v>
      </c>
    </row>
    <row r="280" spans="1:20" x14ac:dyDescent="0.25">
      <c r="A280" s="20" t="s">
        <v>38</v>
      </c>
      <c r="B280" s="20" t="s">
        <v>132</v>
      </c>
      <c r="C280" s="21">
        <f>SUM(E280,G280,I280,K280,M280,O280,Q280,S280)</f>
      </c>
      <c r="D280" s="21">
        <f>SUM(F280,H280,J280,L280,N280,P280,R280,T280)</f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  <c r="S280" s="22">
        <v>0</v>
      </c>
      <c r="T280" s="22">
        <v>0</v>
      </c>
    </row>
    <row r="281" spans="1:20" x14ac:dyDescent="0.25">
      <c r="A281" s="20"/>
      <c r="B281" s="20" t="s">
        <v>133</v>
      </c>
      <c r="C281" s="21">
        <f>SUM(E281,G281,I281,K281,M281,O281,Q281,S281)</f>
      </c>
      <c r="D281" s="21">
        <f>SUM(F281,H281,J281,L281,N281,P281,R281,T281)</f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  <c r="S281" s="22">
        <v>0</v>
      </c>
      <c r="T281" s="22">
        <v>0</v>
      </c>
    </row>
    <row r="282" spans="1:20" x14ac:dyDescent="0.25">
      <c r="A282" s="20"/>
      <c r="B282" s="20" t="s">
        <v>134</v>
      </c>
      <c r="C282" s="21">
        <f>SUM(E282,G282,I282,K282,M282,O282,Q282,S282)</f>
      </c>
      <c r="D282" s="21">
        <f>SUM(F282,H282,J282,L282,N282,P282,R282,T282)</f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0</v>
      </c>
      <c r="S282" s="22">
        <v>0</v>
      </c>
      <c r="T282" s="22">
        <v>0</v>
      </c>
    </row>
    <row r="283" spans="1:20" x14ac:dyDescent="0.25">
      <c r="A283" s="20"/>
      <c r="B283" s="20" t="s">
        <v>137</v>
      </c>
      <c r="C283" s="21">
        <f>SUM(E283,G283,I283,K283,M283,O283,Q283,S283)</f>
      </c>
      <c r="D283" s="21">
        <f>SUM(F283,H283,J283,L283,N283,P283,R283,T283)</f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  <c r="S283" s="22">
        <v>0</v>
      </c>
      <c r="T283" s="22">
        <v>0</v>
      </c>
    </row>
    <row r="284" spans="1:20" x14ac:dyDescent="0.25">
      <c r="A284" s="23" t="s">
        <v>79</v>
      </c>
      <c r="B284" s="23" t="s">
        <v>38</v>
      </c>
      <c r="C284" s="24">
        <f>SUM(C280:C283)</f>
      </c>
      <c r="D284" s="24">
        <f>SUM(D280:D283)</f>
      </c>
      <c r="E284" s="24">
        <f>SUM(E280:E283)</f>
      </c>
      <c r="F284" s="24">
        <f>SUM(F280:F283)</f>
      </c>
      <c r="G284" s="24">
        <f>SUM(G280:G283)</f>
      </c>
      <c r="H284" s="24">
        <f>SUM(H280:H283)</f>
      </c>
      <c r="I284" s="24">
        <f>SUM(I280:I283)</f>
      </c>
      <c r="J284" s="24">
        <f>SUM(J280:J283)</f>
      </c>
      <c r="K284" s="24">
        <f>SUM(K280:K283)</f>
      </c>
      <c r="L284" s="24">
        <f>SUM(L280:L283)</f>
      </c>
      <c r="M284" s="24">
        <f>SUM(M280:M283)</f>
      </c>
      <c r="N284" s="24">
        <f>SUM(N280:N283)</f>
      </c>
      <c r="O284" s="24">
        <f>SUM(O280:O283)</f>
      </c>
      <c r="P284" s="24">
        <f>SUM(P280:P283)</f>
      </c>
      <c r="Q284" s="24">
        <f>SUM(Q280:Q283)</f>
      </c>
      <c r="R284" s="24">
        <f>SUM(R280:R283)</f>
      </c>
      <c r="S284" s="24">
        <f>SUM(S280:S283)</f>
      </c>
      <c r="T284" s="24">
        <f>SUM(T280:T283)</f>
      </c>
    </row>
    <row r="285" spans="1:20" x14ac:dyDescent="0.25">
      <c r="A285" s="20" t="s">
        <v>39</v>
      </c>
      <c r="B285" s="20" t="s">
        <v>132</v>
      </c>
      <c r="C285" s="21">
        <f>SUM(E285,G285,I285,K285,M285,O285,Q285,S285)</f>
      </c>
      <c r="D285" s="21">
        <f>SUM(F285,H285,J285,L285,N285,P285,R285,T285)</f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  <c r="S285" s="22">
        <v>0</v>
      </c>
      <c r="T285" s="22">
        <v>0</v>
      </c>
    </row>
    <row r="286" spans="1:20" x14ac:dyDescent="0.25">
      <c r="A286" s="20"/>
      <c r="B286" s="20" t="s">
        <v>133</v>
      </c>
      <c r="C286" s="21">
        <f>SUM(E286,G286,I286,K286,M286,O286,Q286,S286)</f>
      </c>
      <c r="D286" s="21">
        <f>SUM(F286,H286,J286,L286,N286,P286,R286,T286)</f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0</v>
      </c>
      <c r="S286" s="22">
        <v>0</v>
      </c>
      <c r="T286" s="22">
        <v>0</v>
      </c>
    </row>
    <row r="287" spans="1:20" x14ac:dyDescent="0.25">
      <c r="A287" s="20"/>
      <c r="B287" s="20" t="s">
        <v>134</v>
      </c>
      <c r="C287" s="21">
        <f>SUM(E287,G287,I287,K287,M287,O287,Q287,S287)</f>
      </c>
      <c r="D287" s="21">
        <f>SUM(F287,H287,J287,L287,N287,P287,R287,T287)</f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0</v>
      </c>
      <c r="S287" s="22">
        <v>0</v>
      </c>
      <c r="T287" s="22">
        <v>0</v>
      </c>
    </row>
    <row r="288" spans="1:20" x14ac:dyDescent="0.25">
      <c r="A288" s="20"/>
      <c r="B288" s="20" t="s">
        <v>137</v>
      </c>
      <c r="C288" s="21">
        <f>SUM(E288,G288,I288,K288,M288,O288,Q288,S288)</f>
      </c>
      <c r="D288" s="21">
        <f>SUM(F288,H288,J288,L288,N288,P288,R288,T288)</f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  <c r="S288" s="22">
        <v>0</v>
      </c>
      <c r="T288" s="22">
        <v>0</v>
      </c>
    </row>
    <row r="289" spans="1:20" x14ac:dyDescent="0.25">
      <c r="A289" s="23" t="s">
        <v>79</v>
      </c>
      <c r="B289" s="23" t="s">
        <v>39</v>
      </c>
      <c r="C289" s="24">
        <f>SUM(C285:C288)</f>
      </c>
      <c r="D289" s="24">
        <f>SUM(D285:D288)</f>
      </c>
      <c r="E289" s="24">
        <f>SUM(E285:E288)</f>
      </c>
      <c r="F289" s="24">
        <f>SUM(F285:F288)</f>
      </c>
      <c r="G289" s="24">
        <f>SUM(G285:G288)</f>
      </c>
      <c r="H289" s="24">
        <f>SUM(H285:H288)</f>
      </c>
      <c r="I289" s="24">
        <f>SUM(I285:I288)</f>
      </c>
      <c r="J289" s="24">
        <f>SUM(J285:J288)</f>
      </c>
      <c r="K289" s="24">
        <f>SUM(K285:K288)</f>
      </c>
      <c r="L289" s="24">
        <f>SUM(L285:L288)</f>
      </c>
      <c r="M289" s="24">
        <f>SUM(M285:M288)</f>
      </c>
      <c r="N289" s="24">
        <f>SUM(N285:N288)</f>
      </c>
      <c r="O289" s="24">
        <f>SUM(O285:O288)</f>
      </c>
      <c r="P289" s="24">
        <f>SUM(P285:P288)</f>
      </c>
      <c r="Q289" s="24">
        <f>SUM(Q285:Q288)</f>
      </c>
      <c r="R289" s="24">
        <f>SUM(R285:R288)</f>
      </c>
      <c r="S289" s="24">
        <f>SUM(S285:S288)</f>
      </c>
      <c r="T289" s="24">
        <f>SUM(T285:T288)</f>
      </c>
    </row>
    <row r="290" spans="1:20" x14ac:dyDescent="0.25">
      <c r="A290" s="20" t="s">
        <v>40</v>
      </c>
      <c r="B290" s="20" t="s">
        <v>132</v>
      </c>
      <c r="C290" s="21">
        <f>SUM(E290,G290,I290,K290,M290,O290,Q290,S290)</f>
      </c>
      <c r="D290" s="21">
        <f>SUM(F290,H290,J290,L290,N290,P290,R290,T290)</f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  <c r="S290" s="22">
        <v>0</v>
      </c>
      <c r="T290" s="22">
        <v>0</v>
      </c>
    </row>
    <row r="291" spans="1:20" x14ac:dyDescent="0.25">
      <c r="A291" s="20"/>
      <c r="B291" s="20" t="s">
        <v>133</v>
      </c>
      <c r="C291" s="21">
        <f>SUM(E291,G291,I291,K291,M291,O291,Q291,S291)</f>
      </c>
      <c r="D291" s="21">
        <f>SUM(F291,H291,J291,L291,N291,P291,R291,T291)</f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0</v>
      </c>
      <c r="P291" s="22">
        <v>0</v>
      </c>
      <c r="Q291" s="22">
        <v>0</v>
      </c>
      <c r="R291" s="22">
        <v>0</v>
      </c>
      <c r="S291" s="22">
        <v>0</v>
      </c>
      <c r="T291" s="22">
        <v>0</v>
      </c>
    </row>
    <row r="292" spans="1:20" x14ac:dyDescent="0.25">
      <c r="A292" s="20"/>
      <c r="B292" s="20" t="s">
        <v>134</v>
      </c>
      <c r="C292" s="21">
        <f>SUM(E292,G292,I292,K292,M292,O292,Q292,S292)</f>
      </c>
      <c r="D292" s="21">
        <f>SUM(F292,H292,J292,L292,N292,P292,R292,T292)</f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22">
        <v>0</v>
      </c>
      <c r="S292" s="22">
        <v>0</v>
      </c>
      <c r="T292" s="22">
        <v>0</v>
      </c>
    </row>
    <row r="293" spans="1:20" x14ac:dyDescent="0.25">
      <c r="A293" s="20"/>
      <c r="B293" s="20" t="s">
        <v>137</v>
      </c>
      <c r="C293" s="21">
        <f>SUM(E293,G293,I293,K293,M293,O293,Q293,S293)</f>
      </c>
      <c r="D293" s="21">
        <f>SUM(F293,H293,J293,L293,N293,P293,R293,T293)</f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  <c r="S293" s="22">
        <v>0</v>
      </c>
      <c r="T293" s="22">
        <v>0</v>
      </c>
    </row>
    <row r="294" spans="1:20" x14ac:dyDescent="0.25">
      <c r="A294" s="23" t="s">
        <v>79</v>
      </c>
      <c r="B294" s="23" t="s">
        <v>40</v>
      </c>
      <c r="C294" s="24">
        <f>SUM(C290:C293)</f>
      </c>
      <c r="D294" s="24">
        <f>SUM(D290:D293)</f>
      </c>
      <c r="E294" s="24">
        <f>SUM(E290:E293)</f>
      </c>
      <c r="F294" s="24">
        <f>SUM(F290:F293)</f>
      </c>
      <c r="G294" s="24">
        <f>SUM(G290:G293)</f>
      </c>
      <c r="H294" s="24">
        <f>SUM(H290:H293)</f>
      </c>
      <c r="I294" s="24">
        <f>SUM(I290:I293)</f>
      </c>
      <c r="J294" s="24">
        <f>SUM(J290:J293)</f>
      </c>
      <c r="K294" s="24">
        <f>SUM(K290:K293)</f>
      </c>
      <c r="L294" s="24">
        <f>SUM(L290:L293)</f>
      </c>
      <c r="M294" s="24">
        <f>SUM(M290:M293)</f>
      </c>
      <c r="N294" s="24">
        <f>SUM(N290:N293)</f>
      </c>
      <c r="O294" s="24">
        <f>SUM(O290:O293)</f>
      </c>
      <c r="P294" s="24">
        <f>SUM(P290:P293)</f>
      </c>
      <c r="Q294" s="24">
        <f>SUM(Q290:Q293)</f>
      </c>
      <c r="R294" s="24">
        <f>SUM(R290:R293)</f>
      </c>
      <c r="S294" s="24">
        <f>SUM(S290:S293)</f>
      </c>
      <c r="T294" s="24">
        <f>SUM(T290:T293)</f>
      </c>
    </row>
    <row r="295" spans="1:20" x14ac:dyDescent="0.25">
      <c r="A295" s="23" t="s">
        <v>81</v>
      </c>
      <c r="B295" s="23" t="s">
        <v>132</v>
      </c>
      <c r="C295" s="24">
        <f>SUM(C280,C285,C290)</f>
      </c>
      <c r="D295" s="24">
        <f>SUM(D280,D285,D290)</f>
      </c>
      <c r="E295" s="24">
        <f>SUM(E280,E285,E290)</f>
      </c>
      <c r="F295" s="24">
        <f>SUM(F280,F285,F290)</f>
      </c>
      <c r="G295" s="24">
        <f>SUM(G280,G285,G290)</f>
      </c>
      <c r="H295" s="24">
        <f>SUM(H280,H285,H290)</f>
      </c>
      <c r="I295" s="24">
        <f>SUM(I280,I285,I290)</f>
      </c>
      <c r="J295" s="24">
        <f>SUM(J280,J285,J290)</f>
      </c>
      <c r="K295" s="24">
        <f>SUM(K280,K285,K290)</f>
      </c>
      <c r="L295" s="24">
        <f>SUM(L280,L285,L290)</f>
      </c>
      <c r="M295" s="24">
        <f>SUM(M280,M285,M290)</f>
      </c>
      <c r="N295" s="24">
        <f>SUM(N280,N285,N290)</f>
      </c>
      <c r="O295" s="24">
        <f>SUM(O280,O285,O290)</f>
      </c>
      <c r="P295" s="24">
        <f>SUM(P280,P285,P290)</f>
      </c>
      <c r="Q295" s="24">
        <f>SUM(Q280,Q285,Q290)</f>
      </c>
      <c r="R295" s="24">
        <f>SUM(R280,R285,R290)</f>
      </c>
      <c r="S295" s="24">
        <f>SUM(S280,S285,S290)</f>
      </c>
      <c r="T295" s="24">
        <f>SUM(T280,T285,T290)</f>
      </c>
    </row>
    <row r="296" spans="1:20" x14ac:dyDescent="0.25">
      <c r="A296" s="23" t="s">
        <v>81</v>
      </c>
      <c r="B296" s="23" t="s">
        <v>133</v>
      </c>
      <c r="C296" s="24">
        <f>SUM(C281,C286,C291)</f>
      </c>
      <c r="D296" s="24">
        <f>SUM(D281,D286,D291)</f>
      </c>
      <c r="E296" s="24">
        <f>SUM(E281,E286,E291)</f>
      </c>
      <c r="F296" s="24">
        <f>SUM(F281,F286,F291)</f>
      </c>
      <c r="G296" s="24">
        <f>SUM(G281,G286,G291)</f>
      </c>
      <c r="H296" s="24">
        <f>SUM(H281,H286,H291)</f>
      </c>
      <c r="I296" s="24">
        <f>SUM(I281,I286,I291)</f>
      </c>
      <c r="J296" s="24">
        <f>SUM(J281,J286,J291)</f>
      </c>
      <c r="K296" s="24">
        <f>SUM(K281,K286,K291)</f>
      </c>
      <c r="L296" s="24">
        <f>SUM(L281,L286,L291)</f>
      </c>
      <c r="M296" s="24">
        <f>SUM(M281,M286,M291)</f>
      </c>
      <c r="N296" s="24">
        <f>SUM(N281,N286,N291)</f>
      </c>
      <c r="O296" s="24">
        <f>SUM(O281,O286,O291)</f>
      </c>
      <c r="P296" s="24">
        <f>SUM(P281,P286,P291)</f>
      </c>
      <c r="Q296" s="24">
        <f>SUM(Q281,Q286,Q291)</f>
      </c>
      <c r="R296" s="24">
        <f>SUM(R281,R286,R291)</f>
      </c>
      <c r="S296" s="24">
        <f>SUM(S281,S286,S291)</f>
      </c>
      <c r="T296" s="24">
        <f>SUM(T281,T286,T291)</f>
      </c>
    </row>
    <row r="297" spans="1:20" x14ac:dyDescent="0.25">
      <c r="A297" s="23" t="s">
        <v>81</v>
      </c>
      <c r="B297" s="23" t="s">
        <v>134</v>
      </c>
      <c r="C297" s="24">
        <f>SUM(C282,C287,C292)</f>
      </c>
      <c r="D297" s="24">
        <f>SUM(D282,D287,D292)</f>
      </c>
      <c r="E297" s="24">
        <f>SUM(E282,E287,E292)</f>
      </c>
      <c r="F297" s="24">
        <f>SUM(F282,F287,F292)</f>
      </c>
      <c r="G297" s="24">
        <f>SUM(G282,G287,G292)</f>
      </c>
      <c r="H297" s="24">
        <f>SUM(H282,H287,H292)</f>
      </c>
      <c r="I297" s="24">
        <f>SUM(I282,I287,I292)</f>
      </c>
      <c r="J297" s="24">
        <f>SUM(J282,J287,J292)</f>
      </c>
      <c r="K297" s="24">
        <f>SUM(K282,K287,K292)</f>
      </c>
      <c r="L297" s="24">
        <f>SUM(L282,L287,L292)</f>
      </c>
      <c r="M297" s="24">
        <f>SUM(M282,M287,M292)</f>
      </c>
      <c r="N297" s="24">
        <f>SUM(N282,N287,N292)</f>
      </c>
      <c r="O297" s="24">
        <f>SUM(O282,O287,O292)</f>
      </c>
      <c r="P297" s="24">
        <f>SUM(P282,P287,P292)</f>
      </c>
      <c r="Q297" s="24">
        <f>SUM(Q282,Q287,Q292)</f>
      </c>
      <c r="R297" s="24">
        <f>SUM(R282,R287,R292)</f>
      </c>
      <c r="S297" s="24">
        <f>SUM(S282,S287,S292)</f>
      </c>
      <c r="T297" s="24">
        <f>SUM(T282,T287,T292)</f>
      </c>
    </row>
    <row r="298" spans="1:20" x14ac:dyDescent="0.25">
      <c r="A298" s="23" t="s">
        <v>81</v>
      </c>
      <c r="B298" s="23" t="s">
        <v>137</v>
      </c>
      <c r="C298" s="24">
        <f>SUM(C283,C288,C293)</f>
      </c>
      <c r="D298" s="24">
        <f>SUM(D283,D288,D293)</f>
      </c>
      <c r="E298" s="24">
        <f>SUM(E283,E288,E293)</f>
      </c>
      <c r="F298" s="24">
        <f>SUM(F283,F288,F293)</f>
      </c>
      <c r="G298" s="24">
        <f>SUM(G283,G288,G293)</f>
      </c>
      <c r="H298" s="24">
        <f>SUM(H283,H288,H293)</f>
      </c>
      <c r="I298" s="24">
        <f>SUM(I283,I288,I293)</f>
      </c>
      <c r="J298" s="24">
        <f>SUM(J283,J288,J293)</f>
      </c>
      <c r="K298" s="24">
        <f>SUM(K283,K288,K293)</f>
      </c>
      <c r="L298" s="24">
        <f>SUM(L283,L288,L293)</f>
      </c>
      <c r="M298" s="24">
        <f>SUM(M283,M288,M293)</f>
      </c>
      <c r="N298" s="24">
        <f>SUM(N283,N288,N293)</f>
      </c>
      <c r="O298" s="24">
        <f>SUM(O283,O288,O293)</f>
      </c>
      <c r="P298" s="24">
        <f>SUM(P283,P288,P293)</f>
      </c>
      <c r="Q298" s="24">
        <f>SUM(Q283,Q288,Q293)</f>
      </c>
      <c r="R298" s="24">
        <f>SUM(R283,R288,R293)</f>
      </c>
      <c r="S298" s="24">
        <f>SUM(S283,S288,S293)</f>
      </c>
      <c r="T298" s="24">
        <f>SUM(T283,T288,T293)</f>
      </c>
    </row>
    <row r="299" spans="1:20" x14ac:dyDescent="0.25">
      <c r="A299" s="23" t="s">
        <v>46</v>
      </c>
      <c r="B299" s="23" t="s">
        <v>140</v>
      </c>
      <c r="C299" s="24">
        <f>SUM(C284,C289,C294)</f>
      </c>
      <c r="D299" s="24">
        <f>SUM(D284,D289,D294)</f>
      </c>
      <c r="E299" s="24">
        <f>SUM(E284,E289,E294)</f>
      </c>
      <c r="F299" s="24">
        <f>SUM(F284,F289,F294)</f>
      </c>
      <c r="G299" s="24">
        <f>SUM(G284,G289,G294)</f>
      </c>
      <c r="H299" s="24">
        <f>SUM(H284,H289,H294)</f>
      </c>
      <c r="I299" s="24">
        <f>SUM(I284,I289,I294)</f>
      </c>
      <c r="J299" s="24">
        <f>SUM(J284,J289,J294)</f>
      </c>
      <c r="K299" s="24">
        <f>SUM(K284,K289,K294)</f>
      </c>
      <c r="L299" s="24">
        <f>SUM(L284,L289,L294)</f>
      </c>
      <c r="M299" s="24">
        <f>SUM(M284,M289,M294)</f>
      </c>
      <c r="N299" s="24">
        <f>SUM(N284,N289,N294)</f>
      </c>
      <c r="O299" s="24">
        <f>SUM(O284,O289,O294)</f>
      </c>
      <c r="P299" s="24">
        <f>SUM(P284,P289,P294)</f>
      </c>
      <c r="Q299" s="24">
        <f>SUM(Q284,Q289,Q294)</f>
      </c>
      <c r="R299" s="24">
        <f>SUM(R284,R289,R294)</f>
      </c>
      <c r="S299" s="24">
        <f>SUM(S284,S289,S294)</f>
      </c>
      <c r="T299" s="24">
        <f>SUM(T284,T289,T294)</f>
      </c>
    </row>
    <row r="303" spans="1:1" x14ac:dyDescent="0.25">
      <c r="A303" s="18" t="s">
        <v>141</v>
      </c>
    </row>
    <row r="304" spans="1:20" x14ac:dyDescent="0.25">
      <c r="A304" s="19" t="s">
        <v>84</v>
      </c>
      <c r="B304" s="19" t="s">
        <v>49</v>
      </c>
      <c r="C304" s="19" t="s">
        <v>17</v>
      </c>
      <c r="D304" s="19"/>
      <c r="E304" s="19" t="s">
        <v>130</v>
      </c>
      <c r="F304" s="19"/>
      <c r="G304" s="19" t="s">
        <v>112</v>
      </c>
      <c r="H304" s="19"/>
      <c r="I304" s="19" t="s">
        <v>96</v>
      </c>
      <c r="J304" s="19"/>
      <c r="K304" s="19" t="s">
        <v>97</v>
      </c>
      <c r="L304" s="19"/>
      <c r="M304" s="19" t="s">
        <v>98</v>
      </c>
      <c r="N304" s="19"/>
      <c r="O304" s="19" t="s">
        <v>99</v>
      </c>
      <c r="P304" s="19"/>
      <c r="Q304" s="19" t="s">
        <v>100</v>
      </c>
      <c r="R304" s="19"/>
      <c r="S304" s="19" t="s">
        <v>131</v>
      </c>
      <c r="T304" s="19"/>
    </row>
    <row r="305" spans="1:20" x14ac:dyDescent="0.25">
      <c r="A305" s="19"/>
      <c r="B305" s="19"/>
      <c r="C305" s="19" t="s">
        <v>33</v>
      </c>
      <c r="D305" s="19" t="s">
        <v>34</v>
      </c>
      <c r="E305" s="19" t="s">
        <v>35</v>
      </c>
      <c r="F305" s="19" t="s">
        <v>36</v>
      </c>
      <c r="G305" s="19" t="s">
        <v>35</v>
      </c>
      <c r="H305" s="19" t="s">
        <v>36</v>
      </c>
      <c r="I305" s="19" t="s">
        <v>35</v>
      </c>
      <c r="J305" s="19" t="s">
        <v>36</v>
      </c>
      <c r="K305" s="19" t="s">
        <v>35</v>
      </c>
      <c r="L305" s="19" t="s">
        <v>36</v>
      </c>
      <c r="M305" s="19" t="s">
        <v>35</v>
      </c>
      <c r="N305" s="19" t="s">
        <v>36</v>
      </c>
      <c r="O305" s="19" t="s">
        <v>35</v>
      </c>
      <c r="P305" s="19" t="s">
        <v>36</v>
      </c>
      <c r="Q305" s="19" t="s">
        <v>35</v>
      </c>
      <c r="R305" s="19" t="s">
        <v>36</v>
      </c>
      <c r="S305" s="19" t="s">
        <v>35</v>
      </c>
      <c r="T305" s="19" t="s">
        <v>36</v>
      </c>
    </row>
    <row r="306" spans="1:20" x14ac:dyDescent="0.25">
      <c r="A306" s="20" t="s">
        <v>38</v>
      </c>
      <c r="B306" s="20" t="s">
        <v>132</v>
      </c>
      <c r="C306" s="21">
        <f>SUM(E306,G306,I306,K306,M306,O306,Q306,S306)</f>
      </c>
      <c r="D306" s="21">
        <f>SUM(F306,H306,J306,L306,N306,P306,R306,T306)</f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  <c r="S306" s="22">
        <v>0</v>
      </c>
      <c r="T306" s="22">
        <v>0</v>
      </c>
    </row>
    <row r="307" spans="1:20" x14ac:dyDescent="0.25">
      <c r="A307" s="20"/>
      <c r="B307" s="20" t="s">
        <v>133</v>
      </c>
      <c r="C307" s="21">
        <f>SUM(E307,G307,I307,K307,M307,O307,Q307,S307)</f>
      </c>
      <c r="D307" s="21">
        <f>SUM(F307,H307,J307,L307,N307,P307,R307,T307)</f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  <c r="S307" s="22">
        <v>0</v>
      </c>
      <c r="T307" s="22">
        <v>0</v>
      </c>
    </row>
    <row r="308" spans="1:20" x14ac:dyDescent="0.25">
      <c r="A308" s="20"/>
      <c r="B308" s="20" t="s">
        <v>134</v>
      </c>
      <c r="C308" s="21">
        <f>SUM(E308,G308,I308,K308,M308,O308,Q308,S308)</f>
      </c>
      <c r="D308" s="21">
        <f>SUM(F308,H308,J308,L308,N308,P308,R308,T308)</f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  <c r="S308" s="22">
        <v>0</v>
      </c>
      <c r="T308" s="22">
        <v>0</v>
      </c>
    </row>
    <row r="309" spans="1:20" x14ac:dyDescent="0.25">
      <c r="A309" s="20"/>
      <c r="B309" s="20" t="s">
        <v>137</v>
      </c>
      <c r="C309" s="21">
        <f>SUM(E309,G309,I309,K309,M309,O309,Q309,S309)</f>
      </c>
      <c r="D309" s="21">
        <f>SUM(F309,H309,J309,L309,N309,P309,R309,T309)</f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  <c r="S309" s="22">
        <v>0</v>
      </c>
      <c r="T309" s="22">
        <v>0</v>
      </c>
    </row>
    <row r="310" spans="1:20" x14ac:dyDescent="0.25">
      <c r="A310" s="23" t="s">
        <v>79</v>
      </c>
      <c r="B310" s="23" t="s">
        <v>38</v>
      </c>
      <c r="C310" s="24">
        <f>SUM(C306:C309)</f>
      </c>
      <c r="D310" s="24">
        <f>SUM(D306:D309)</f>
      </c>
      <c r="E310" s="24">
        <f>SUM(E306:E309)</f>
      </c>
      <c r="F310" s="24">
        <f>SUM(F306:F309)</f>
      </c>
      <c r="G310" s="24">
        <f>SUM(G306:G309)</f>
      </c>
      <c r="H310" s="24">
        <f>SUM(H306:H309)</f>
      </c>
      <c r="I310" s="24">
        <f>SUM(I306:I309)</f>
      </c>
      <c r="J310" s="24">
        <f>SUM(J306:J309)</f>
      </c>
      <c r="K310" s="24">
        <f>SUM(K306:K309)</f>
      </c>
      <c r="L310" s="24">
        <f>SUM(L306:L309)</f>
      </c>
      <c r="M310" s="24">
        <f>SUM(M306:M309)</f>
      </c>
      <c r="N310" s="24">
        <f>SUM(N306:N309)</f>
      </c>
      <c r="O310" s="24">
        <f>SUM(O306:O309)</f>
      </c>
      <c r="P310" s="24">
        <f>SUM(P306:P309)</f>
      </c>
      <c r="Q310" s="24">
        <f>SUM(Q306:Q309)</f>
      </c>
      <c r="R310" s="24">
        <f>SUM(R306:R309)</f>
      </c>
      <c r="S310" s="24">
        <f>SUM(S306:S309)</f>
      </c>
      <c r="T310" s="24">
        <f>SUM(T306:T309)</f>
      </c>
    </row>
    <row r="311" spans="1:20" x14ac:dyDescent="0.25">
      <c r="A311" s="20" t="s">
        <v>39</v>
      </c>
      <c r="B311" s="20" t="s">
        <v>132</v>
      </c>
      <c r="C311" s="21">
        <f>SUM(E311,G311,I311,K311,M311,O311,Q311,S311)</f>
      </c>
      <c r="D311" s="21">
        <f>SUM(F311,H311,J311,L311,N311,P311,R311,T311)</f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  <c r="K311" s="22">
        <v>0</v>
      </c>
      <c r="L311" s="22">
        <v>0</v>
      </c>
      <c r="M311" s="22">
        <v>0</v>
      </c>
      <c r="N311" s="22">
        <v>0</v>
      </c>
      <c r="O311" s="22">
        <v>0</v>
      </c>
      <c r="P311" s="22">
        <v>0</v>
      </c>
      <c r="Q311" s="22">
        <v>0</v>
      </c>
      <c r="R311" s="22">
        <v>0</v>
      </c>
      <c r="S311" s="22">
        <v>0</v>
      </c>
      <c r="T311" s="22">
        <v>0</v>
      </c>
    </row>
    <row r="312" spans="1:20" x14ac:dyDescent="0.25">
      <c r="A312" s="20"/>
      <c r="B312" s="20" t="s">
        <v>133</v>
      </c>
      <c r="C312" s="21">
        <f>SUM(E312,G312,I312,K312,M312,O312,Q312,S312)</f>
      </c>
      <c r="D312" s="21">
        <f>SUM(F312,H312,J312,L312,N312,P312,R312,T312)</f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22">
        <v>0</v>
      </c>
      <c r="L312" s="22">
        <v>0</v>
      </c>
      <c r="M312" s="22">
        <v>0</v>
      </c>
      <c r="N312" s="22">
        <v>0</v>
      </c>
      <c r="O312" s="22">
        <v>0</v>
      </c>
      <c r="P312" s="22">
        <v>0</v>
      </c>
      <c r="Q312" s="22">
        <v>0</v>
      </c>
      <c r="R312" s="22">
        <v>0</v>
      </c>
      <c r="S312" s="22">
        <v>0</v>
      </c>
      <c r="T312" s="22">
        <v>0</v>
      </c>
    </row>
    <row r="313" spans="1:20" x14ac:dyDescent="0.25">
      <c r="A313" s="20"/>
      <c r="B313" s="20" t="s">
        <v>134</v>
      </c>
      <c r="C313" s="21">
        <f>SUM(E313,G313,I313,K313,M313,O313,Q313,S313)</f>
      </c>
      <c r="D313" s="21">
        <f>SUM(F313,H313,J313,L313,N313,P313,R313,T313)</f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  <c r="J313" s="22">
        <v>0</v>
      </c>
      <c r="K313" s="22">
        <v>0</v>
      </c>
      <c r="L313" s="22">
        <v>0</v>
      </c>
      <c r="M313" s="22">
        <v>0</v>
      </c>
      <c r="N313" s="22">
        <v>0</v>
      </c>
      <c r="O313" s="22">
        <v>0</v>
      </c>
      <c r="P313" s="22">
        <v>0</v>
      </c>
      <c r="Q313" s="22">
        <v>0</v>
      </c>
      <c r="R313" s="22">
        <v>0</v>
      </c>
      <c r="S313" s="22">
        <v>0</v>
      </c>
      <c r="T313" s="22">
        <v>0</v>
      </c>
    </row>
    <row r="314" spans="1:20" x14ac:dyDescent="0.25">
      <c r="A314" s="20"/>
      <c r="B314" s="20" t="s">
        <v>137</v>
      </c>
      <c r="C314" s="21">
        <f>SUM(E314,G314,I314,K314,M314,O314,Q314,S314)</f>
      </c>
      <c r="D314" s="21">
        <f>SUM(F314,H314,J314,L314,N314,P314,R314,T314)</f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2">
        <v>0</v>
      </c>
      <c r="M314" s="22">
        <v>0</v>
      </c>
      <c r="N314" s="22">
        <v>0</v>
      </c>
      <c r="O314" s="22">
        <v>0</v>
      </c>
      <c r="P314" s="22">
        <v>0</v>
      </c>
      <c r="Q314" s="22">
        <v>0</v>
      </c>
      <c r="R314" s="22">
        <v>0</v>
      </c>
      <c r="S314" s="22">
        <v>0</v>
      </c>
      <c r="T314" s="22">
        <v>0</v>
      </c>
    </row>
    <row r="315" spans="1:20" x14ac:dyDescent="0.25">
      <c r="A315" s="23" t="s">
        <v>79</v>
      </c>
      <c r="B315" s="23" t="s">
        <v>39</v>
      </c>
      <c r="C315" s="24">
        <f>SUM(C311:C314)</f>
      </c>
      <c r="D315" s="24">
        <f>SUM(D311:D314)</f>
      </c>
      <c r="E315" s="24">
        <f>SUM(E311:E314)</f>
      </c>
      <c r="F315" s="24">
        <f>SUM(F311:F314)</f>
      </c>
      <c r="G315" s="24">
        <f>SUM(G311:G314)</f>
      </c>
      <c r="H315" s="24">
        <f>SUM(H311:H314)</f>
      </c>
      <c r="I315" s="24">
        <f>SUM(I311:I314)</f>
      </c>
      <c r="J315" s="24">
        <f>SUM(J311:J314)</f>
      </c>
      <c r="K315" s="24">
        <f>SUM(K311:K314)</f>
      </c>
      <c r="L315" s="24">
        <f>SUM(L311:L314)</f>
      </c>
      <c r="M315" s="24">
        <f>SUM(M311:M314)</f>
      </c>
      <c r="N315" s="24">
        <f>SUM(N311:N314)</f>
      </c>
      <c r="O315" s="24">
        <f>SUM(O311:O314)</f>
      </c>
      <c r="P315" s="24">
        <f>SUM(P311:P314)</f>
      </c>
      <c r="Q315" s="24">
        <f>SUM(Q311:Q314)</f>
      </c>
      <c r="R315" s="24">
        <f>SUM(R311:R314)</f>
      </c>
      <c r="S315" s="24">
        <f>SUM(S311:S314)</f>
      </c>
      <c r="T315" s="24">
        <f>SUM(T311:T314)</f>
      </c>
    </row>
    <row r="316" spans="1:20" x14ac:dyDescent="0.25">
      <c r="A316" s="20" t="s">
        <v>40</v>
      </c>
      <c r="B316" s="20" t="s">
        <v>132</v>
      </c>
      <c r="C316" s="21">
        <f>SUM(E316,G316,I316,K316,M316,O316,Q316,S316)</f>
      </c>
      <c r="D316" s="21">
        <f>SUM(F316,H316,J316,L316,N316,P316,R316,T316)</f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  <c r="J316" s="22">
        <v>0</v>
      </c>
      <c r="K316" s="22">
        <v>0</v>
      </c>
      <c r="L316" s="22">
        <v>0</v>
      </c>
      <c r="M316" s="22">
        <v>0</v>
      </c>
      <c r="N316" s="22">
        <v>0</v>
      </c>
      <c r="O316" s="22">
        <v>0</v>
      </c>
      <c r="P316" s="22">
        <v>0</v>
      </c>
      <c r="Q316" s="22">
        <v>0</v>
      </c>
      <c r="R316" s="22">
        <v>0</v>
      </c>
      <c r="S316" s="22">
        <v>0</v>
      </c>
      <c r="T316" s="22">
        <v>0</v>
      </c>
    </row>
    <row r="317" spans="1:20" x14ac:dyDescent="0.25">
      <c r="A317" s="20"/>
      <c r="B317" s="20" t="s">
        <v>133</v>
      </c>
      <c r="C317" s="21">
        <f>SUM(E317,G317,I317,K317,M317,O317,Q317,S317)</f>
      </c>
      <c r="D317" s="21">
        <f>SUM(F317,H317,J317,L317,N317,P317,R317,T317)</f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2">
        <v>0</v>
      </c>
      <c r="M317" s="22">
        <v>0</v>
      </c>
      <c r="N317" s="22">
        <v>0</v>
      </c>
      <c r="O317" s="22">
        <v>0</v>
      </c>
      <c r="P317" s="22">
        <v>0</v>
      </c>
      <c r="Q317" s="22">
        <v>0</v>
      </c>
      <c r="R317" s="22">
        <v>0</v>
      </c>
      <c r="S317" s="22">
        <v>0</v>
      </c>
      <c r="T317" s="22">
        <v>0</v>
      </c>
    </row>
    <row r="318" spans="1:20" x14ac:dyDescent="0.25">
      <c r="A318" s="20"/>
      <c r="B318" s="20" t="s">
        <v>134</v>
      </c>
      <c r="C318" s="21">
        <f>SUM(E318,G318,I318,K318,M318,O318,Q318,S318)</f>
      </c>
      <c r="D318" s="21">
        <f>SUM(F318,H318,J318,L318,N318,P318,R318,T318)</f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  <c r="K318" s="22">
        <v>0</v>
      </c>
      <c r="L318" s="22">
        <v>0</v>
      </c>
      <c r="M318" s="22">
        <v>0</v>
      </c>
      <c r="N318" s="22">
        <v>0</v>
      </c>
      <c r="O318" s="22">
        <v>0</v>
      </c>
      <c r="P318" s="22">
        <v>0</v>
      </c>
      <c r="Q318" s="22">
        <v>0</v>
      </c>
      <c r="R318" s="22">
        <v>0</v>
      </c>
      <c r="S318" s="22">
        <v>0</v>
      </c>
      <c r="T318" s="22">
        <v>0</v>
      </c>
    </row>
    <row r="319" spans="1:20" x14ac:dyDescent="0.25">
      <c r="A319" s="20"/>
      <c r="B319" s="20" t="s">
        <v>137</v>
      </c>
      <c r="C319" s="21">
        <f>SUM(E319,G319,I319,K319,M319,O319,Q319,S319)</f>
      </c>
      <c r="D319" s="21">
        <f>SUM(F319,H319,J319,L319,N319,P319,R319,T319)</f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  <c r="J319" s="22">
        <v>0</v>
      </c>
      <c r="K319" s="22">
        <v>0</v>
      </c>
      <c r="L319" s="22">
        <v>0</v>
      </c>
      <c r="M319" s="22">
        <v>0</v>
      </c>
      <c r="N319" s="22">
        <v>0</v>
      </c>
      <c r="O319" s="22">
        <v>0</v>
      </c>
      <c r="P319" s="22">
        <v>0</v>
      </c>
      <c r="Q319" s="22">
        <v>0</v>
      </c>
      <c r="R319" s="22">
        <v>0</v>
      </c>
      <c r="S319" s="22">
        <v>0</v>
      </c>
      <c r="T319" s="22">
        <v>0</v>
      </c>
    </row>
    <row r="320" spans="1:20" x14ac:dyDescent="0.25">
      <c r="A320" s="23" t="s">
        <v>79</v>
      </c>
      <c r="B320" s="23" t="s">
        <v>40</v>
      </c>
      <c r="C320" s="24">
        <f>SUM(C316:C319)</f>
      </c>
      <c r="D320" s="24">
        <f>SUM(D316:D319)</f>
      </c>
      <c r="E320" s="24">
        <f>SUM(E316:E319)</f>
      </c>
      <c r="F320" s="24">
        <f>SUM(F316:F319)</f>
      </c>
      <c r="G320" s="24">
        <f>SUM(G316:G319)</f>
      </c>
      <c r="H320" s="24">
        <f>SUM(H316:H319)</f>
      </c>
      <c r="I320" s="24">
        <f>SUM(I316:I319)</f>
      </c>
      <c r="J320" s="24">
        <f>SUM(J316:J319)</f>
      </c>
      <c r="K320" s="24">
        <f>SUM(K316:K319)</f>
      </c>
      <c r="L320" s="24">
        <f>SUM(L316:L319)</f>
      </c>
      <c r="M320" s="24">
        <f>SUM(M316:M319)</f>
      </c>
      <c r="N320" s="24">
        <f>SUM(N316:N319)</f>
      </c>
      <c r="O320" s="24">
        <f>SUM(O316:O319)</f>
      </c>
      <c r="P320" s="24">
        <f>SUM(P316:P319)</f>
      </c>
      <c r="Q320" s="24">
        <f>SUM(Q316:Q319)</f>
      </c>
      <c r="R320" s="24">
        <f>SUM(R316:R319)</f>
      </c>
      <c r="S320" s="24">
        <f>SUM(S316:S319)</f>
      </c>
      <c r="T320" s="24">
        <f>SUM(T316:T319)</f>
      </c>
    </row>
    <row r="321" spans="1:20" x14ac:dyDescent="0.25">
      <c r="A321" s="23" t="s">
        <v>81</v>
      </c>
      <c r="B321" s="23" t="s">
        <v>132</v>
      </c>
      <c r="C321" s="24">
        <f>SUM(C306,C311,C316)</f>
      </c>
      <c r="D321" s="24">
        <f>SUM(D306,D311,D316)</f>
      </c>
      <c r="E321" s="24">
        <f>SUM(E306,E311,E316)</f>
      </c>
      <c r="F321" s="24">
        <f>SUM(F306,F311,F316)</f>
      </c>
      <c r="G321" s="24">
        <f>SUM(G306,G311,G316)</f>
      </c>
      <c r="H321" s="24">
        <f>SUM(H306,H311,H316)</f>
      </c>
      <c r="I321" s="24">
        <f>SUM(I306,I311,I316)</f>
      </c>
      <c r="J321" s="24">
        <f>SUM(J306,J311,J316)</f>
      </c>
      <c r="K321" s="24">
        <f>SUM(K306,K311,K316)</f>
      </c>
      <c r="L321" s="24">
        <f>SUM(L306,L311,L316)</f>
      </c>
      <c r="M321" s="24">
        <f>SUM(M306,M311,M316)</f>
      </c>
      <c r="N321" s="24">
        <f>SUM(N306,N311,N316)</f>
      </c>
      <c r="O321" s="24">
        <f>SUM(O306,O311,O316)</f>
      </c>
      <c r="P321" s="24">
        <f>SUM(P306,P311,P316)</f>
      </c>
      <c r="Q321" s="24">
        <f>SUM(Q306,Q311,Q316)</f>
      </c>
      <c r="R321" s="24">
        <f>SUM(R306,R311,R316)</f>
      </c>
      <c r="S321" s="24">
        <f>SUM(S306,S311,S316)</f>
      </c>
      <c r="T321" s="24">
        <f>SUM(T306,T311,T316)</f>
      </c>
    </row>
    <row r="322" spans="1:20" x14ac:dyDescent="0.25">
      <c r="A322" s="23" t="s">
        <v>81</v>
      </c>
      <c r="B322" s="23" t="s">
        <v>133</v>
      </c>
      <c r="C322" s="24">
        <f>SUM(C307,C312,C317)</f>
      </c>
      <c r="D322" s="24">
        <f>SUM(D307,D312,D317)</f>
      </c>
      <c r="E322" s="24">
        <f>SUM(E307,E312,E317)</f>
      </c>
      <c r="F322" s="24">
        <f>SUM(F307,F312,F317)</f>
      </c>
      <c r="G322" s="24">
        <f>SUM(G307,G312,G317)</f>
      </c>
      <c r="H322" s="24">
        <f>SUM(H307,H312,H317)</f>
      </c>
      <c r="I322" s="24">
        <f>SUM(I307,I312,I317)</f>
      </c>
      <c r="J322" s="24">
        <f>SUM(J307,J312,J317)</f>
      </c>
      <c r="K322" s="24">
        <f>SUM(K307,K312,K317)</f>
      </c>
      <c r="L322" s="24">
        <f>SUM(L307,L312,L317)</f>
      </c>
      <c r="M322" s="24">
        <f>SUM(M307,M312,M317)</f>
      </c>
      <c r="N322" s="24">
        <f>SUM(N307,N312,N317)</f>
      </c>
      <c r="O322" s="24">
        <f>SUM(O307,O312,O317)</f>
      </c>
      <c r="P322" s="24">
        <f>SUM(P307,P312,P317)</f>
      </c>
      <c r="Q322" s="24">
        <f>SUM(Q307,Q312,Q317)</f>
      </c>
      <c r="R322" s="24">
        <f>SUM(R307,R312,R317)</f>
      </c>
      <c r="S322" s="24">
        <f>SUM(S307,S312,S317)</f>
      </c>
      <c r="T322" s="24">
        <f>SUM(T307,T312,T317)</f>
      </c>
    </row>
    <row r="323" spans="1:20" x14ac:dyDescent="0.25">
      <c r="A323" s="23" t="s">
        <v>81</v>
      </c>
      <c r="B323" s="23" t="s">
        <v>134</v>
      </c>
      <c r="C323" s="24">
        <f>SUM(C308,C313,C318)</f>
      </c>
      <c r="D323" s="24">
        <f>SUM(D308,D313,D318)</f>
      </c>
      <c r="E323" s="24">
        <f>SUM(E308,E313,E318)</f>
      </c>
      <c r="F323" s="24">
        <f>SUM(F308,F313,F318)</f>
      </c>
      <c r="G323" s="24">
        <f>SUM(G308,G313,G318)</f>
      </c>
      <c r="H323" s="24">
        <f>SUM(H308,H313,H318)</f>
      </c>
      <c r="I323" s="24">
        <f>SUM(I308,I313,I318)</f>
      </c>
      <c r="J323" s="24">
        <f>SUM(J308,J313,J318)</f>
      </c>
      <c r="K323" s="24">
        <f>SUM(K308,K313,K318)</f>
      </c>
      <c r="L323" s="24">
        <f>SUM(L308,L313,L318)</f>
      </c>
      <c r="M323" s="24">
        <f>SUM(M308,M313,M318)</f>
      </c>
      <c r="N323" s="24">
        <f>SUM(N308,N313,N318)</f>
      </c>
      <c r="O323" s="24">
        <f>SUM(O308,O313,O318)</f>
      </c>
      <c r="P323" s="24">
        <f>SUM(P308,P313,P318)</f>
      </c>
      <c r="Q323" s="24">
        <f>SUM(Q308,Q313,Q318)</f>
      </c>
      <c r="R323" s="24">
        <f>SUM(R308,R313,R318)</f>
      </c>
      <c r="S323" s="24">
        <f>SUM(S308,S313,S318)</f>
      </c>
      <c r="T323" s="24">
        <f>SUM(T308,T313,T318)</f>
      </c>
    </row>
    <row r="324" spans="1:20" x14ac:dyDescent="0.25">
      <c r="A324" s="23" t="s">
        <v>81</v>
      </c>
      <c r="B324" s="23" t="s">
        <v>137</v>
      </c>
      <c r="C324" s="24">
        <f>SUM(C309,C314,C319)</f>
      </c>
      <c r="D324" s="24">
        <f>SUM(D309,D314,D319)</f>
      </c>
      <c r="E324" s="24">
        <f>SUM(E309,E314,E319)</f>
      </c>
      <c r="F324" s="24">
        <f>SUM(F309,F314,F319)</f>
      </c>
      <c r="G324" s="24">
        <f>SUM(G309,G314,G319)</f>
      </c>
      <c r="H324" s="24">
        <f>SUM(H309,H314,H319)</f>
      </c>
      <c r="I324" s="24">
        <f>SUM(I309,I314,I319)</f>
      </c>
      <c r="J324" s="24">
        <f>SUM(J309,J314,J319)</f>
      </c>
      <c r="K324" s="24">
        <f>SUM(K309,K314,K319)</f>
      </c>
      <c r="L324" s="24">
        <f>SUM(L309,L314,L319)</f>
      </c>
      <c r="M324" s="24">
        <f>SUM(M309,M314,M319)</f>
      </c>
      <c r="N324" s="24">
        <f>SUM(N309,N314,N319)</f>
      </c>
      <c r="O324" s="24">
        <f>SUM(O309,O314,O319)</f>
      </c>
      <c r="P324" s="24">
        <f>SUM(P309,P314,P319)</f>
      </c>
      <c r="Q324" s="24">
        <f>SUM(Q309,Q314,Q319)</f>
      </c>
      <c r="R324" s="24">
        <f>SUM(R309,R314,R319)</f>
      </c>
      <c r="S324" s="24">
        <f>SUM(S309,S314,S319)</f>
      </c>
      <c r="T324" s="24">
        <f>SUM(T309,T314,T319)</f>
      </c>
    </row>
    <row r="325" spans="1:20" x14ac:dyDescent="0.25">
      <c r="A325" s="23" t="s">
        <v>46</v>
      </c>
      <c r="B325" s="23" t="s">
        <v>142</v>
      </c>
      <c r="C325" s="24">
        <f>SUM(C310,C315,C320)</f>
      </c>
      <c r="D325" s="24">
        <f>SUM(D310,D315,D320)</f>
      </c>
      <c r="E325" s="24">
        <f>SUM(E310,E315,E320)</f>
      </c>
      <c r="F325" s="24">
        <f>SUM(F310,F315,F320)</f>
      </c>
      <c r="G325" s="24">
        <f>SUM(G310,G315,G320)</f>
      </c>
      <c r="H325" s="24">
        <f>SUM(H310,H315,H320)</f>
      </c>
      <c r="I325" s="24">
        <f>SUM(I310,I315,I320)</f>
      </c>
      <c r="J325" s="24">
        <f>SUM(J310,J315,J320)</f>
      </c>
      <c r="K325" s="24">
        <f>SUM(K310,K315,K320)</f>
      </c>
      <c r="L325" s="24">
        <f>SUM(L310,L315,L320)</f>
      </c>
      <c r="M325" s="24">
        <f>SUM(M310,M315,M320)</f>
      </c>
      <c r="N325" s="24">
        <f>SUM(N310,N315,N320)</f>
      </c>
      <c r="O325" s="24">
        <f>SUM(O310,O315,O320)</f>
      </c>
      <c r="P325" s="24">
        <f>SUM(P310,P315,P320)</f>
      </c>
      <c r="Q325" s="24">
        <f>SUM(Q310,Q315,Q320)</f>
      </c>
      <c r="R325" s="24">
        <f>SUM(R310,R315,R320)</f>
      </c>
      <c r="S325" s="24">
        <f>SUM(S310,S315,S320)</f>
      </c>
      <c r="T325" s="24">
        <f>SUM(T310,T315,T320)</f>
      </c>
    </row>
    <row r="330" spans="1:4" x14ac:dyDescent="0.25">
      <c r="A330" s="26" t="s">
        <v>143</v>
      </c>
      <c r="B330" s="26"/>
      <c r="C330" s="26"/>
      <c r="D330" s="26"/>
    </row>
    <row r="331" spans="1:4" x14ac:dyDescent="0.25">
      <c r="A331" s="19" t="s">
        <v>144</v>
      </c>
      <c r="B331" s="19" t="s">
        <v>145</v>
      </c>
      <c r="C331" s="19" t="s">
        <v>146</v>
      </c>
      <c r="D331" s="19" t="s">
        <v>147</v>
      </c>
    </row>
    <row r="332" spans="1:4" x14ac:dyDescent="0.25">
      <c r="A332" s="20" t="s">
        <v>148</v>
      </c>
      <c r="B332" s="20" t="s">
        <v>149</v>
      </c>
      <c r="C332" s="21">
        <f>C31</f>
      </c>
      <c r="D332" s="21">
        <f>D31</f>
      </c>
    </row>
    <row r="333" spans="1:4" x14ac:dyDescent="0.25">
      <c r="A333" s="20" t="s">
        <v>150</v>
      </c>
      <c r="B333" s="20" t="s">
        <v>149</v>
      </c>
      <c r="C333" s="21">
        <f>C40</f>
      </c>
      <c r="D333" s="21">
        <f>D40</f>
      </c>
    </row>
    <row r="334" spans="1:4" x14ac:dyDescent="0.25">
      <c r="A334" s="20" t="s">
        <v>151</v>
      </c>
      <c r="B334" s="20" t="s">
        <v>149</v>
      </c>
      <c r="C334" s="21">
        <f>C49</f>
      </c>
      <c r="D334" s="21">
        <f>D49</f>
      </c>
    </row>
    <row r="335" spans="1:4" x14ac:dyDescent="0.25">
      <c r="A335" s="20" t="s">
        <v>152</v>
      </c>
      <c r="B335" s="20" t="s">
        <v>149</v>
      </c>
      <c r="C335" s="21">
        <f>D89</f>
      </c>
      <c r="D335" s="21">
        <f>E89</f>
      </c>
    </row>
    <row r="336" spans="1:4" x14ac:dyDescent="0.25">
      <c r="A336" s="20" t="s">
        <v>153</v>
      </c>
      <c r="B336" s="20" t="s">
        <v>149</v>
      </c>
      <c r="C336" s="21">
        <f>C102</f>
      </c>
      <c r="D336" s="21">
        <f>D102</f>
      </c>
    </row>
    <row r="337" spans="1:4" x14ac:dyDescent="0.25">
      <c r="A337" s="20" t="s">
        <v>154</v>
      </c>
      <c r="B337" s="20" t="s">
        <v>149</v>
      </c>
      <c r="C337" s="21">
        <f>C128</f>
      </c>
      <c r="D337" s="21">
        <f>D128</f>
      </c>
    </row>
    <row r="338" spans="1:4" x14ac:dyDescent="0.25">
      <c r="A338" s="20" t="s">
        <v>155</v>
      </c>
      <c r="B338" s="20" t="s">
        <v>149</v>
      </c>
      <c r="C338" s="21">
        <f>C152</f>
      </c>
      <c r="D338" s="21">
        <f>D152</f>
      </c>
    </row>
    <row r="339" spans="1:4" x14ac:dyDescent="0.25">
      <c r="A339" s="20" t="s">
        <v>156</v>
      </c>
      <c r="B339" s="20" t="s">
        <v>149</v>
      </c>
      <c r="C339" s="21">
        <f>C178</f>
      </c>
      <c r="D339" s="21">
        <f>D178</f>
      </c>
    </row>
    <row r="340" spans="1:4" x14ac:dyDescent="0.25">
      <c r="A340" s="20" t="s">
        <v>157</v>
      </c>
      <c r="B340" s="20" t="s">
        <v>149</v>
      </c>
      <c r="C340" s="21">
        <f>C188</f>
      </c>
      <c r="D340" s="21">
        <f>D188</f>
      </c>
    </row>
    <row r="341" spans="1:4" x14ac:dyDescent="0.25">
      <c r="A341" s="20" t="s">
        <v>158</v>
      </c>
      <c r="B341" s="20" t="s">
        <v>149</v>
      </c>
      <c r="C341" s="21">
        <f>C214</f>
      </c>
      <c r="D341" s="21">
        <f>D214</f>
      </c>
    </row>
    <row r="342" spans="1:4" x14ac:dyDescent="0.25">
      <c r="A342" s="20" t="s">
        <v>159</v>
      </c>
      <c r="B342" s="20" t="s">
        <v>149</v>
      </c>
      <c r="C342" s="21">
        <f>C234</f>
      </c>
      <c r="D342" s="21">
        <f>D234</f>
      </c>
    </row>
    <row r="343" spans="1:4" x14ac:dyDescent="0.25">
      <c r="A343" s="20" t="s">
        <v>160</v>
      </c>
      <c r="B343" s="20" t="s">
        <v>149</v>
      </c>
      <c r="C343" s="21">
        <f>C260</f>
      </c>
      <c r="D343" s="21">
        <f>D260</f>
      </c>
    </row>
    <row r="344" spans="1:4" x14ac:dyDescent="0.25">
      <c r="A344" s="20" t="s">
        <v>161</v>
      </c>
      <c r="B344" s="20" t="s">
        <v>149</v>
      </c>
      <c r="C344" s="21">
        <f>C271</f>
      </c>
      <c r="D344" s="21">
        <f>D271</f>
      </c>
    </row>
    <row r="345" spans="1:4" x14ac:dyDescent="0.25">
      <c r="A345" s="20" t="s">
        <v>162</v>
      </c>
      <c r="B345" s="20" t="s">
        <v>149</v>
      </c>
      <c r="C345" s="21">
        <f>C299</f>
      </c>
      <c r="D345" s="21">
        <f>D299</f>
      </c>
    </row>
    <row r="346" spans="1:4" x14ac:dyDescent="0.25">
      <c r="A346" s="20" t="s">
        <v>163</v>
      </c>
      <c r="B346" s="20" t="s">
        <v>149</v>
      </c>
      <c r="C346" s="21">
        <f>C325</f>
      </c>
      <c r="D346" s="21">
        <f>D325</f>
      </c>
    </row>
    <row r="347" spans="1:4" x14ac:dyDescent="0.25">
      <c r="A347" s="23" t="s">
        <v>164</v>
      </c>
      <c r="B347" s="23" t="s">
        <v>165</v>
      </c>
      <c r="C347" s="24">
        <f>SUM(C332:C346)</f>
      </c>
      <c r="D347" s="24">
        <f>SUM(D332:D346)</f>
      </c>
    </row>
  </sheetData>
  <mergeCells count="214">
    <mergeCell ref="A2:P2"/>
    <mergeCell ref="C8:D8"/>
    <mergeCell ref="E8:F8"/>
    <mergeCell ref="G8:H8"/>
    <mergeCell ref="I8:J8"/>
    <mergeCell ref="K8:L8"/>
    <mergeCell ref="M8:N8"/>
    <mergeCell ref="O8:P8"/>
    <mergeCell ref="A8:A9"/>
    <mergeCell ref="B8:B9"/>
    <mergeCell ref="R8:R9"/>
    <mergeCell ref="A10:A12"/>
    <mergeCell ref="A13:A15"/>
    <mergeCell ref="A16:A18"/>
    <mergeCell ref="A19:A21"/>
    <mergeCell ref="A22:A24"/>
    <mergeCell ref="A25:A27"/>
    <mergeCell ref="C35:D35"/>
    <mergeCell ref="E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A35:A36"/>
    <mergeCell ref="B35:B36"/>
    <mergeCell ref="A37:A39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A44:A45"/>
    <mergeCell ref="B44:B45"/>
    <mergeCell ref="A46:A48"/>
    <mergeCell ref="D60:E60"/>
    <mergeCell ref="F60:G61"/>
    <mergeCell ref="H60:I61"/>
    <mergeCell ref="J60:K61"/>
    <mergeCell ref="L60:M61"/>
    <mergeCell ref="N60:O61"/>
    <mergeCell ref="P60:Q61"/>
    <mergeCell ref="R60:S61"/>
    <mergeCell ref="T60:U61"/>
    <mergeCell ref="V60:W61"/>
    <mergeCell ref="X60:Y61"/>
    <mergeCell ref="A60:A61"/>
    <mergeCell ref="B60:B61"/>
    <mergeCell ref="C60:C61"/>
    <mergeCell ref="A62:A67"/>
    <mergeCell ref="A69:A74"/>
    <mergeCell ref="A76:A81"/>
    <mergeCell ref="C94:D94"/>
    <mergeCell ref="E94:F94"/>
    <mergeCell ref="G94:H94"/>
    <mergeCell ref="I94:J94"/>
    <mergeCell ref="K94:L94"/>
    <mergeCell ref="M94:N94"/>
    <mergeCell ref="O94:P94"/>
    <mergeCell ref="Q94:R94"/>
    <mergeCell ref="S94:T94"/>
    <mergeCell ref="A94:A95"/>
    <mergeCell ref="B94:B95"/>
    <mergeCell ref="A96:A101"/>
    <mergeCell ref="C108:D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V108"/>
    <mergeCell ref="A108:A109"/>
    <mergeCell ref="B108:B109"/>
    <mergeCell ref="A113:A115"/>
    <mergeCell ref="A117:A119"/>
    <mergeCell ref="A121:A123"/>
    <mergeCell ref="C134:D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V134"/>
    <mergeCell ref="W134:X134"/>
    <mergeCell ref="A134:A135"/>
    <mergeCell ref="B134:B135"/>
    <mergeCell ref="A137:A139"/>
    <mergeCell ref="A141:A143"/>
    <mergeCell ref="A145:A147"/>
    <mergeCell ref="C159:D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A159:A160"/>
    <mergeCell ref="B159:B160"/>
    <mergeCell ref="A163:A165"/>
    <mergeCell ref="A167:A169"/>
    <mergeCell ref="A171:A173"/>
    <mergeCell ref="C183:D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A183:A184"/>
    <mergeCell ref="B183:B184"/>
    <mergeCell ref="A185:A187"/>
    <mergeCell ref="C194:D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A194:A195"/>
    <mergeCell ref="B194:B195"/>
    <mergeCell ref="A199:A201"/>
    <mergeCell ref="A203:A205"/>
    <mergeCell ref="A207:A209"/>
    <mergeCell ref="C220:D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V220"/>
    <mergeCell ref="W220:X220"/>
    <mergeCell ref="A220:A221"/>
    <mergeCell ref="B220:B221"/>
    <mergeCell ref="A223:A224"/>
    <mergeCell ref="A226:A227"/>
    <mergeCell ref="A229:A230"/>
    <mergeCell ref="C242:D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A242:A243"/>
    <mergeCell ref="B242:B243"/>
    <mergeCell ref="A245:A247"/>
    <mergeCell ref="A249:A251"/>
    <mergeCell ref="A253:A255"/>
    <mergeCell ref="C265:D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A265:A266"/>
    <mergeCell ref="B265:B266"/>
    <mergeCell ref="A267:A270"/>
    <mergeCell ref="C276:D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A276:A277"/>
    <mergeCell ref="B276:B277"/>
    <mergeCell ref="A280:A283"/>
    <mergeCell ref="A285:A288"/>
    <mergeCell ref="A290:A293"/>
    <mergeCell ref="C304:D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A304:A305"/>
    <mergeCell ref="B304:B305"/>
    <mergeCell ref="A306:A309"/>
    <mergeCell ref="A311:A314"/>
    <mergeCell ref="A316:A319"/>
    <mergeCell ref="A330:D330"/>
  </mergeCells>
  <dataValidations count="1085">
    <dataValidation type="whole" operator="lessThanOrEqual" allowBlank="1" showErrorMessage="1" errorTitle="Mensagem de Erro" error="F não pode ser Superior a MF" sqref="F10">
      <formula1>E10</formula1>
    </dataValidation>
    <dataValidation type="whole" operator="lessThanOrEqual" allowBlank="1" showErrorMessage="1" errorTitle="Mensagem de Erro" error="F não pode ser Superior a MF" sqref="F100">
      <formula1>E100</formula1>
    </dataValidation>
    <dataValidation type="whole" operator="lessThanOrEqual" allowBlank="1" showErrorMessage="1" errorTitle="Mensagem de Erro" error="F não pode ser Superior a MF" sqref="F101">
      <formula1>E101</formula1>
    </dataValidation>
    <dataValidation type="whole" operator="lessThanOrEqual" allowBlank="1" showErrorMessage="1" errorTitle="Mensagem de Erro" error="F não pode ser Superior a MF" sqref="F11">
      <formula1>E11</formula1>
    </dataValidation>
    <dataValidation type="whole" operator="lessThanOrEqual" allowBlank="1" showErrorMessage="1" errorTitle="Mensagem de Erro" error="F não pode ser Superior a MF" sqref="F113">
      <formula1>E113</formula1>
    </dataValidation>
    <dataValidation type="whole" operator="lessThanOrEqual" allowBlank="1" showErrorMessage="1" errorTitle="Mensagem de Erro" error="F não pode ser Superior a MF" sqref="F114">
      <formula1>E114</formula1>
    </dataValidation>
    <dataValidation type="whole" operator="lessThanOrEqual" allowBlank="1" showErrorMessage="1" errorTitle="Mensagem de Erro" error="F não pode ser Superior a MF" sqref="F115">
      <formula1>E115</formula1>
    </dataValidation>
    <dataValidation type="whole" operator="lessThanOrEqual" allowBlank="1" showErrorMessage="1" errorTitle="Mensagem de Erro" error="F não pode ser Superior a MF" sqref="F117">
      <formula1>E117</formula1>
    </dataValidation>
    <dataValidation type="whole" operator="lessThanOrEqual" allowBlank="1" showErrorMessage="1" errorTitle="Mensagem de Erro" error="F não pode ser Superior a MF" sqref="F118">
      <formula1>E118</formula1>
    </dataValidation>
    <dataValidation type="whole" operator="lessThanOrEqual" allowBlank="1" showErrorMessage="1" errorTitle="Mensagem de Erro" error="F não pode ser Superior a MF" sqref="F119">
      <formula1>E119</formula1>
    </dataValidation>
    <dataValidation type="whole" operator="lessThanOrEqual" allowBlank="1" showErrorMessage="1" errorTitle="Mensagem de Erro" error="F não pode ser Superior a MF" sqref="F12">
      <formula1>E12</formula1>
    </dataValidation>
    <dataValidation type="whole" operator="lessThanOrEqual" allowBlank="1" showErrorMessage="1" errorTitle="Mensagem de Erro" error="F não pode ser Superior a MF" sqref="F121">
      <formula1>E121</formula1>
    </dataValidation>
    <dataValidation type="whole" operator="lessThanOrEqual" allowBlank="1" showErrorMessage="1" errorTitle="Mensagem de Erro" error="F não pode ser Superior a MF" sqref="F122">
      <formula1>E122</formula1>
    </dataValidation>
    <dataValidation type="whole" operator="lessThanOrEqual" allowBlank="1" showErrorMessage="1" errorTitle="Mensagem de Erro" error="F não pode ser Superior a MF" sqref="F123">
      <formula1>E123</formula1>
    </dataValidation>
    <dataValidation type="whole" operator="lessThanOrEqual" allowBlank="1" showErrorMessage="1" errorTitle="Mensagem de Erro" error="F não pode ser Superior a MF" sqref="F13">
      <formula1>E13</formula1>
    </dataValidation>
    <dataValidation type="whole" operator="lessThanOrEqual" allowBlank="1" showErrorMessage="1" errorTitle="Mensagem de Erro" error="F não pode ser Superior a MF" sqref="F137">
      <formula1>E137</formula1>
    </dataValidation>
    <dataValidation type="whole" operator="lessThanOrEqual" allowBlank="1" showErrorMessage="1" errorTitle="Mensagem de Erro" error="F não pode ser Superior a MF" sqref="F138">
      <formula1>E138</formula1>
    </dataValidation>
    <dataValidation type="whole" operator="lessThanOrEqual" allowBlank="1" showErrorMessage="1" errorTitle="Mensagem de Erro" error="F não pode ser Superior a MF" sqref="F139">
      <formula1>E139</formula1>
    </dataValidation>
    <dataValidation type="whole" operator="lessThanOrEqual" allowBlank="1" showErrorMessage="1" errorTitle="Mensagem de Erro" error="F não pode ser Superior a MF" sqref="F14">
      <formula1>E14</formula1>
    </dataValidation>
    <dataValidation type="whole" operator="lessThanOrEqual" allowBlank="1" showErrorMessage="1" errorTitle="Mensagem de Erro" error="F não pode ser Superior a MF" sqref="F141">
      <formula1>E141</formula1>
    </dataValidation>
    <dataValidation type="whole" operator="lessThanOrEqual" allowBlank="1" showErrorMessage="1" errorTitle="Mensagem de Erro" error="F não pode ser Superior a MF" sqref="F142">
      <formula1>E142</formula1>
    </dataValidation>
    <dataValidation type="whole" operator="lessThanOrEqual" allowBlank="1" showErrorMessage="1" errorTitle="Mensagem de Erro" error="F não pode ser Superior a MF" sqref="F143">
      <formula1>E143</formula1>
    </dataValidation>
    <dataValidation type="whole" operator="lessThanOrEqual" allowBlank="1" showErrorMessage="1" errorTitle="Mensagem de Erro" error="F não pode ser Superior a MF" sqref="F145">
      <formula1>E145</formula1>
    </dataValidation>
    <dataValidation type="whole" operator="lessThanOrEqual" allowBlank="1" showErrorMessage="1" errorTitle="Mensagem de Erro" error="F não pode ser Superior a MF" sqref="F146">
      <formula1>E146</formula1>
    </dataValidation>
    <dataValidation type="whole" operator="lessThanOrEqual" allowBlank="1" showErrorMessage="1" errorTitle="Mensagem de Erro" error="F não pode ser Superior a MF" sqref="F147">
      <formula1>E147</formula1>
    </dataValidation>
    <dataValidation type="whole" operator="lessThanOrEqual" allowBlank="1" showErrorMessage="1" errorTitle="Mensagem de Erro" error="F não pode ser Superior a MF" sqref="F15">
      <formula1>E15</formula1>
    </dataValidation>
    <dataValidation type="whole" operator="lessThanOrEqual" allowBlank="1" showErrorMessage="1" errorTitle="Mensagem de Erro" error="F não pode ser Superior a MF" sqref="F16">
      <formula1>E16</formula1>
    </dataValidation>
    <dataValidation type="whole" operator="lessThanOrEqual" allowBlank="1" showErrorMessage="1" errorTitle="Mensagem de Erro" error="F não pode ser Superior a MF" sqref="F163">
      <formula1>E163</formula1>
    </dataValidation>
    <dataValidation type="whole" operator="lessThanOrEqual" allowBlank="1" showErrorMessage="1" errorTitle="Mensagem de Erro" error="F não pode ser Superior a MF" sqref="F164">
      <formula1>E164</formula1>
    </dataValidation>
    <dataValidation type="whole" operator="lessThanOrEqual" allowBlank="1" showErrorMessage="1" errorTitle="Mensagem de Erro" error="F não pode ser Superior a MF" sqref="F165">
      <formula1>E165</formula1>
    </dataValidation>
    <dataValidation type="whole" operator="lessThanOrEqual" allowBlank="1" showErrorMessage="1" errorTitle="Mensagem de Erro" error="F não pode ser Superior a MF" sqref="F167">
      <formula1>E167</formula1>
    </dataValidation>
    <dataValidation type="whole" operator="lessThanOrEqual" allowBlank="1" showErrorMessage="1" errorTitle="Mensagem de Erro" error="F não pode ser Superior a MF" sqref="F168">
      <formula1>E168</formula1>
    </dataValidation>
    <dataValidation type="whole" operator="lessThanOrEqual" allowBlank="1" showErrorMessage="1" errorTitle="Mensagem de Erro" error="F não pode ser Superior a MF" sqref="F169">
      <formula1>E169</formula1>
    </dataValidation>
    <dataValidation type="whole" operator="lessThanOrEqual" allowBlank="1" showErrorMessage="1" errorTitle="Mensagem de Erro" error="F não pode ser Superior a MF" sqref="F17">
      <formula1>E17</formula1>
    </dataValidation>
    <dataValidation type="whole" operator="lessThanOrEqual" allowBlank="1" showErrorMessage="1" errorTitle="Mensagem de Erro" error="F não pode ser Superior a MF" sqref="F171">
      <formula1>E171</formula1>
    </dataValidation>
    <dataValidation type="whole" operator="lessThanOrEqual" allowBlank="1" showErrorMessage="1" errorTitle="Mensagem de Erro" error="F não pode ser Superior a MF" sqref="F172">
      <formula1>E172</formula1>
    </dataValidation>
    <dataValidation type="whole" operator="lessThanOrEqual" allowBlank="1" showErrorMessage="1" errorTitle="Mensagem de Erro" error="F não pode ser Superior a MF" sqref="F173">
      <formula1>E173</formula1>
    </dataValidation>
    <dataValidation type="whole" operator="lessThanOrEqual" allowBlank="1" showErrorMessage="1" errorTitle="Mensagem de Erro" error="F não pode ser Superior a MF" sqref="F18">
      <formula1>E18</formula1>
    </dataValidation>
    <dataValidation type="whole" operator="lessThanOrEqual" allowBlank="1" showErrorMessage="1" errorTitle="Mensagem de Erro" error="F não pode ser Superior a MF" sqref="F185">
      <formula1>E185</formula1>
    </dataValidation>
    <dataValidation type="whole" operator="lessThanOrEqual" allowBlank="1" showErrorMessage="1" errorTitle="Mensagem de Erro" error="F não pode ser Superior a MF" sqref="F186">
      <formula1>E186</formula1>
    </dataValidation>
    <dataValidation type="whole" operator="lessThanOrEqual" allowBlank="1" showErrorMessage="1" errorTitle="Mensagem de Erro" error="F não pode ser Superior a MF" sqref="F187">
      <formula1>E187</formula1>
    </dataValidation>
    <dataValidation type="whole" operator="lessThanOrEqual" allowBlank="1" showErrorMessage="1" errorTitle="Mensagem de Erro" error="F não pode ser Superior a MF" sqref="F19">
      <formula1>E19</formula1>
    </dataValidation>
    <dataValidation type="whole" operator="lessThanOrEqual" allowBlank="1" showErrorMessage="1" errorTitle="Mensagem de Erro" error="F não pode ser Superior a MF" sqref="F199">
      <formula1>E199</formula1>
    </dataValidation>
    <dataValidation type="whole" operator="lessThanOrEqual" allowBlank="1" showErrorMessage="1" errorTitle="Mensagem de Erro" error="F não pode ser Superior a MF" sqref="F20">
      <formula1>E20</formula1>
    </dataValidation>
    <dataValidation type="whole" operator="lessThanOrEqual" allowBlank="1" showErrorMessage="1" errorTitle="Mensagem de Erro" error="F não pode ser Superior a MF" sqref="F200">
      <formula1>E200</formula1>
    </dataValidation>
    <dataValidation type="whole" operator="lessThanOrEqual" allowBlank="1" showErrorMessage="1" errorTitle="Mensagem de Erro" error="F não pode ser Superior a MF" sqref="F201">
      <formula1>E201</formula1>
    </dataValidation>
    <dataValidation type="whole" operator="lessThanOrEqual" allowBlank="1" showErrorMessage="1" errorTitle="Mensagem de Erro" error="F não pode ser Superior a MF" sqref="F203">
      <formula1>E203</formula1>
    </dataValidation>
    <dataValidation type="whole" operator="lessThanOrEqual" allowBlank="1" showErrorMessage="1" errorTitle="Mensagem de Erro" error="F não pode ser Superior a MF" sqref="F204">
      <formula1>E204</formula1>
    </dataValidation>
    <dataValidation type="whole" operator="lessThanOrEqual" allowBlank="1" showErrorMessage="1" errorTitle="Mensagem de Erro" error="F não pode ser Superior a MF" sqref="F205">
      <formula1>E205</formula1>
    </dataValidation>
    <dataValidation type="whole" operator="lessThanOrEqual" allowBlank="1" showErrorMessage="1" errorTitle="Mensagem de Erro" error="F não pode ser Superior a MF" sqref="F207">
      <formula1>E207</formula1>
    </dataValidation>
    <dataValidation type="whole" operator="lessThanOrEqual" allowBlank="1" showErrorMessage="1" errorTitle="Mensagem de Erro" error="F não pode ser Superior a MF" sqref="F208">
      <formula1>E208</formula1>
    </dataValidation>
    <dataValidation type="whole" operator="lessThanOrEqual" allowBlank="1" showErrorMessage="1" errorTitle="Mensagem de Erro" error="F não pode ser Superior a MF" sqref="F209">
      <formula1>E209</formula1>
    </dataValidation>
    <dataValidation type="whole" operator="lessThanOrEqual" allowBlank="1" showErrorMessage="1" errorTitle="Mensagem de Erro" error="F não pode ser Superior a MF" sqref="F21">
      <formula1>E21</formula1>
    </dataValidation>
    <dataValidation type="whole" operator="lessThanOrEqual" allowBlank="1" showErrorMessage="1" errorTitle="Mensagem de Erro" error="F não pode ser Superior a MF" sqref="F22">
      <formula1>E22</formula1>
    </dataValidation>
    <dataValidation type="whole" operator="lessThanOrEqual" allowBlank="1" showErrorMessage="1" errorTitle="Mensagem de Erro" error="F não pode ser Superior a MF" sqref="F223">
      <formula1>E223</formula1>
    </dataValidation>
    <dataValidation type="whole" operator="lessThanOrEqual" allowBlank="1" showErrorMessage="1" errorTitle="Mensagem de Erro" error="F não pode ser Superior a MF" sqref="F224">
      <formula1>E224</formula1>
    </dataValidation>
    <dataValidation type="whole" operator="lessThanOrEqual" allowBlank="1" showErrorMessage="1" errorTitle="Mensagem de Erro" error="F não pode ser Superior a MF" sqref="F226">
      <formula1>E226</formula1>
    </dataValidation>
    <dataValidation type="whole" operator="lessThanOrEqual" allowBlank="1" showErrorMessage="1" errorTitle="Mensagem de Erro" error="F não pode ser Superior a MF" sqref="F227">
      <formula1>E227</formula1>
    </dataValidation>
    <dataValidation type="whole" operator="lessThanOrEqual" allowBlank="1" showErrorMessage="1" errorTitle="Mensagem de Erro" error="F não pode ser Superior a MF" sqref="F229">
      <formula1>E229</formula1>
    </dataValidation>
    <dataValidation type="whole" operator="lessThanOrEqual" allowBlank="1" showErrorMessage="1" errorTitle="Mensagem de Erro" error="F não pode ser Superior a MF" sqref="F23">
      <formula1>E23</formula1>
    </dataValidation>
    <dataValidation type="whole" operator="lessThanOrEqual" allowBlank="1" showErrorMessage="1" errorTitle="Mensagem de Erro" error="F não pode ser Superior a MF" sqref="F230">
      <formula1>E230</formula1>
    </dataValidation>
    <dataValidation type="whole" operator="lessThanOrEqual" allowBlank="1" showErrorMessage="1" errorTitle="Mensagem de Erro" error="F não pode ser Superior a MF" sqref="F24">
      <formula1>E24</formula1>
    </dataValidation>
    <dataValidation type="whole" operator="lessThanOrEqual" allowBlank="1" showErrorMessage="1" errorTitle="Mensagem de Erro" error="F não pode ser Superior a MF" sqref="F245">
      <formula1>E245</formula1>
    </dataValidation>
    <dataValidation type="whole" operator="lessThanOrEqual" allowBlank="1" showErrorMessage="1" errorTitle="Mensagem de Erro" error="F não pode ser Superior a MF" sqref="F246">
      <formula1>E246</formula1>
    </dataValidation>
    <dataValidation type="whole" operator="lessThanOrEqual" allowBlank="1" showErrorMessage="1" errorTitle="Mensagem de Erro" error="F não pode ser Superior a MF" sqref="F247">
      <formula1>E247</formula1>
    </dataValidation>
    <dataValidation type="whole" operator="lessThanOrEqual" allowBlank="1" showErrorMessage="1" errorTitle="Mensagem de Erro" error="F não pode ser Superior a MF" sqref="F249">
      <formula1>E249</formula1>
    </dataValidation>
    <dataValidation type="whole" operator="lessThanOrEqual" allowBlank="1" showErrorMessage="1" errorTitle="Mensagem de Erro" error="F não pode ser Superior a MF" sqref="F25">
      <formula1>E25</formula1>
    </dataValidation>
    <dataValidation type="whole" operator="lessThanOrEqual" allowBlank="1" showErrorMessage="1" errorTitle="Mensagem de Erro" error="F não pode ser Superior a MF" sqref="F250">
      <formula1>E250</formula1>
    </dataValidation>
    <dataValidation type="whole" operator="lessThanOrEqual" allowBlank="1" showErrorMessage="1" errorTitle="Mensagem de Erro" error="F não pode ser Superior a MF" sqref="F251">
      <formula1>E251</formula1>
    </dataValidation>
    <dataValidation type="whole" operator="lessThanOrEqual" allowBlank="1" showErrorMessage="1" errorTitle="Mensagem de Erro" error="F não pode ser Superior a MF" sqref="F253">
      <formula1>E253</formula1>
    </dataValidation>
    <dataValidation type="whole" operator="lessThanOrEqual" allowBlank="1" showErrorMessage="1" errorTitle="Mensagem de Erro" error="F não pode ser Superior a MF" sqref="F254">
      <formula1>E254</formula1>
    </dataValidation>
    <dataValidation type="whole" operator="lessThanOrEqual" allowBlank="1" showErrorMessage="1" errorTitle="Mensagem de Erro" error="F não pode ser Superior a MF" sqref="F255">
      <formula1>E255</formula1>
    </dataValidation>
    <dataValidation type="whole" operator="lessThanOrEqual" allowBlank="1" showErrorMessage="1" errorTitle="Mensagem de Erro" error="F não pode ser Superior a MF" sqref="F26">
      <formula1>E26</formula1>
    </dataValidation>
    <dataValidation type="whole" operator="lessThanOrEqual" allowBlank="1" showErrorMessage="1" errorTitle="Mensagem de Erro" error="F não pode ser Superior a MF" sqref="F267">
      <formula1>E267</formula1>
    </dataValidation>
    <dataValidation type="whole" operator="lessThanOrEqual" allowBlank="1" showErrorMessage="1" errorTitle="Mensagem de Erro" error="F não pode ser Superior a MF" sqref="F268">
      <formula1>E268</formula1>
    </dataValidation>
    <dataValidation type="whole" operator="lessThanOrEqual" allowBlank="1" showErrorMessage="1" errorTitle="Mensagem de Erro" error="F não pode ser Superior a MF" sqref="F269">
      <formula1>E269</formula1>
    </dataValidation>
    <dataValidation type="whole" operator="lessThanOrEqual" allowBlank="1" showErrorMessage="1" errorTitle="Mensagem de Erro" error="F não pode ser Superior a MF" sqref="F27">
      <formula1>E27</formula1>
    </dataValidation>
    <dataValidation type="whole" operator="lessThanOrEqual" allowBlank="1" showErrorMessage="1" errorTitle="Mensagem de Erro" error="F não pode ser Superior a MF" sqref="F270">
      <formula1>E270</formula1>
    </dataValidation>
    <dataValidation type="whole" operator="lessThanOrEqual" allowBlank="1" showErrorMessage="1" errorTitle="Mensagem de Erro" error="F não pode ser Superior a MF" sqref="F280">
      <formula1>E280</formula1>
    </dataValidation>
    <dataValidation type="whole" operator="lessThanOrEqual" allowBlank="1" showErrorMessage="1" errorTitle="Mensagem de Erro" error="F não pode ser Superior a MF" sqref="F281">
      <formula1>E281</formula1>
    </dataValidation>
    <dataValidation type="whole" operator="lessThanOrEqual" allowBlank="1" showErrorMessage="1" errorTitle="Mensagem de Erro" error="F não pode ser Superior a MF" sqref="F282">
      <formula1>E282</formula1>
    </dataValidation>
    <dataValidation type="whole" operator="lessThanOrEqual" allowBlank="1" showErrorMessage="1" errorTitle="Mensagem de Erro" error="F não pode ser Superior a MF" sqref="F283">
      <formula1>E283</formula1>
    </dataValidation>
    <dataValidation type="whole" operator="lessThanOrEqual" allowBlank="1" showErrorMessage="1" errorTitle="Mensagem de Erro" error="F não pode ser Superior a MF" sqref="F285">
      <formula1>E285</formula1>
    </dataValidation>
    <dataValidation type="whole" operator="lessThanOrEqual" allowBlank="1" showErrorMessage="1" errorTitle="Mensagem de Erro" error="F não pode ser Superior a MF" sqref="F286">
      <formula1>E286</formula1>
    </dataValidation>
    <dataValidation type="whole" operator="lessThanOrEqual" allowBlank="1" showErrorMessage="1" errorTitle="Mensagem de Erro" error="F não pode ser Superior a MF" sqref="F287">
      <formula1>E287</formula1>
    </dataValidation>
    <dataValidation type="whole" operator="lessThanOrEqual" allowBlank="1" showErrorMessage="1" errorTitle="Mensagem de Erro" error="F não pode ser Superior a MF" sqref="F288">
      <formula1>E288</formula1>
    </dataValidation>
    <dataValidation type="whole" operator="lessThanOrEqual" allowBlank="1" showErrorMessage="1" errorTitle="Mensagem de Erro" error="F não pode ser Superior a MF" sqref="F290">
      <formula1>E290</formula1>
    </dataValidation>
    <dataValidation type="whole" operator="lessThanOrEqual" allowBlank="1" showErrorMessage="1" errorTitle="Mensagem de Erro" error="F não pode ser Superior a MF" sqref="F291">
      <formula1>E291</formula1>
    </dataValidation>
    <dataValidation type="whole" operator="lessThanOrEqual" allowBlank="1" showErrorMessage="1" errorTitle="Mensagem de Erro" error="F não pode ser Superior a MF" sqref="F292">
      <formula1>E292</formula1>
    </dataValidation>
    <dataValidation type="whole" operator="lessThanOrEqual" allowBlank="1" showErrorMessage="1" errorTitle="Mensagem de Erro" error="F não pode ser Superior a MF" sqref="F293">
      <formula1>E293</formula1>
    </dataValidation>
    <dataValidation type="whole" operator="lessThanOrEqual" allowBlank="1" showErrorMessage="1" errorTitle="Mensagem de Erro" error="F não pode ser Superior a MF" sqref="F306">
      <formula1>E306</formula1>
    </dataValidation>
    <dataValidation type="whole" operator="lessThanOrEqual" allowBlank="1" showErrorMessage="1" errorTitle="Mensagem de Erro" error="F não pode ser Superior a MF" sqref="F307">
      <formula1>E307</formula1>
    </dataValidation>
    <dataValidation type="whole" operator="lessThanOrEqual" allowBlank="1" showErrorMessage="1" errorTitle="Mensagem de Erro" error="F não pode ser Superior a MF" sqref="F308">
      <formula1>E308</formula1>
    </dataValidation>
    <dataValidation type="whole" operator="lessThanOrEqual" allowBlank="1" showErrorMessage="1" errorTitle="Mensagem de Erro" error="F não pode ser Superior a MF" sqref="F309">
      <formula1>E309</formula1>
    </dataValidation>
    <dataValidation type="whole" operator="lessThanOrEqual" allowBlank="1" showErrorMessage="1" errorTitle="Mensagem de Erro" error="F não pode ser Superior a MF" sqref="F311">
      <formula1>E311</formula1>
    </dataValidation>
    <dataValidation type="whole" operator="lessThanOrEqual" allowBlank="1" showErrorMessage="1" errorTitle="Mensagem de Erro" error="F não pode ser Superior a MF" sqref="F312">
      <formula1>E312</formula1>
    </dataValidation>
    <dataValidation type="whole" operator="lessThanOrEqual" allowBlank="1" showErrorMessage="1" errorTitle="Mensagem de Erro" error="F não pode ser Superior a MF" sqref="F313">
      <formula1>E313</formula1>
    </dataValidation>
    <dataValidation type="whole" operator="lessThanOrEqual" allowBlank="1" showErrorMessage="1" errorTitle="Mensagem de Erro" error="F não pode ser Superior a MF" sqref="F314">
      <formula1>E314</formula1>
    </dataValidation>
    <dataValidation type="whole" operator="lessThanOrEqual" allowBlank="1" showErrorMessage="1" errorTitle="Mensagem de Erro" error="F não pode ser Superior a MF" sqref="F316">
      <formula1>E316</formula1>
    </dataValidation>
    <dataValidation type="whole" operator="lessThanOrEqual" allowBlank="1" showErrorMessage="1" errorTitle="Mensagem de Erro" error="F não pode ser Superior a MF" sqref="F317">
      <formula1>E317</formula1>
    </dataValidation>
    <dataValidation type="whole" operator="lessThanOrEqual" allowBlank="1" showErrorMessage="1" errorTitle="Mensagem de Erro" error="F não pode ser Superior a MF" sqref="F318">
      <formula1>E318</formula1>
    </dataValidation>
    <dataValidation type="whole" operator="lessThanOrEqual" allowBlank="1" showErrorMessage="1" errorTitle="Mensagem de Erro" error="F não pode ser Superior a MF" sqref="F319">
      <formula1>E319</formula1>
    </dataValidation>
    <dataValidation type="whole" operator="lessThanOrEqual" allowBlank="1" showErrorMessage="1" errorTitle="Mensagem de Erro" error="F não pode ser Superior a MF" sqref="F37">
      <formula1>E37</formula1>
    </dataValidation>
    <dataValidation type="whole" operator="lessThanOrEqual" allowBlank="1" showErrorMessage="1" errorTitle="Mensagem de Erro" error="F não pode ser Superior a MF" sqref="F38">
      <formula1>E38</formula1>
    </dataValidation>
    <dataValidation type="whole" operator="lessThanOrEqual" allowBlank="1" showErrorMessage="1" errorTitle="Mensagem de Erro" error="F não pode ser Superior a MF" sqref="F39">
      <formula1>E39</formula1>
    </dataValidation>
    <dataValidation type="whole" operator="lessThanOrEqual" allowBlank="1" showErrorMessage="1" errorTitle="Mensagem de Erro" error="F não pode ser Superior a MF" sqref="F46">
      <formula1>E46</formula1>
    </dataValidation>
    <dataValidation type="whole" operator="lessThanOrEqual" allowBlank="1" showErrorMessage="1" errorTitle="Mensagem de Erro" error="F não pode ser Superior a MF" sqref="F47">
      <formula1>E47</formula1>
    </dataValidation>
    <dataValidation type="whole" operator="lessThanOrEqual" allowBlank="1" showErrorMessage="1" errorTitle="Mensagem de Erro" error="F não pode ser Superior a MF" sqref="F48">
      <formula1>E48</formula1>
    </dataValidation>
    <dataValidation type="whole" operator="lessThanOrEqual" allowBlank="1" showErrorMessage="1" errorTitle="Mensagem de Erro" error="F não pode ser Superior a MF" sqref="F96">
      <formula1>E96</formula1>
    </dataValidation>
    <dataValidation type="whole" operator="lessThanOrEqual" allowBlank="1" showErrorMessage="1" errorTitle="Mensagem de Erro" error="F não pode ser Superior a MF" sqref="F97">
      <formula1>E97</formula1>
    </dataValidation>
    <dataValidation type="whole" operator="lessThanOrEqual" allowBlank="1" showErrorMessage="1" errorTitle="Mensagem de Erro" error="F não pode ser Superior a MF" sqref="F98">
      <formula1>E98</formula1>
    </dataValidation>
    <dataValidation type="whole" operator="lessThanOrEqual" allowBlank="1" showErrorMessage="1" errorTitle="Mensagem de Erro" error="F não pode ser Superior a MF" sqref="F99">
      <formula1>E99</formula1>
    </dataValidation>
    <dataValidation type="whole" operator="lessThanOrEqual" allowBlank="1" showErrorMessage="1" errorTitle="Mensagem de Erro" error="F não pode ser Superior a MF" sqref="G62">
      <formula1>F62</formula1>
    </dataValidation>
    <dataValidation type="whole" operator="lessThanOrEqual" allowBlank="1" showErrorMessage="1" errorTitle="Mensagem de Erro" error="F não pode ser Superior a MF" sqref="G63">
      <formula1>F63</formula1>
    </dataValidation>
    <dataValidation type="whole" operator="lessThanOrEqual" allowBlank="1" showErrorMessage="1" errorTitle="Mensagem de Erro" error="F não pode ser Superior a MF" sqref="G64">
      <formula1>F64</formula1>
    </dataValidation>
    <dataValidation type="whole" operator="lessThanOrEqual" allowBlank="1" showErrorMessage="1" errorTitle="Mensagem de Erro" error="F não pode ser Superior a MF" sqref="G65">
      <formula1>F65</formula1>
    </dataValidation>
    <dataValidation type="whole" operator="lessThanOrEqual" allowBlank="1" showErrorMessage="1" errorTitle="Mensagem de Erro" error="F não pode ser Superior a MF" sqref="G66">
      <formula1>F66</formula1>
    </dataValidation>
    <dataValidation type="whole" operator="lessThanOrEqual" allowBlank="1" showErrorMessage="1" errorTitle="Mensagem de Erro" error="F não pode ser Superior a MF" sqref="G67">
      <formula1>F67</formula1>
    </dataValidation>
    <dataValidation type="whole" operator="lessThanOrEqual" allowBlank="1" showErrorMessage="1" errorTitle="Mensagem de Erro" error="F não pode ser Superior a MF" sqref="G69">
      <formula1>F69</formula1>
    </dataValidation>
    <dataValidation type="whole" operator="lessThanOrEqual" allowBlank="1" showErrorMessage="1" errorTitle="Mensagem de Erro" error="F não pode ser Superior a MF" sqref="G70">
      <formula1>F70</formula1>
    </dataValidation>
    <dataValidation type="whole" operator="lessThanOrEqual" allowBlank="1" showErrorMessage="1" errorTitle="Mensagem de Erro" error="F não pode ser Superior a MF" sqref="G71">
      <formula1>F71</formula1>
    </dataValidation>
    <dataValidation type="whole" operator="lessThanOrEqual" allowBlank="1" showErrorMessage="1" errorTitle="Mensagem de Erro" error="F não pode ser Superior a MF" sqref="G72">
      <formula1>F72</formula1>
    </dataValidation>
    <dataValidation type="whole" operator="lessThanOrEqual" allowBlank="1" showErrorMessage="1" errorTitle="Mensagem de Erro" error="F não pode ser Superior a MF" sqref="G73">
      <formula1>F73</formula1>
    </dataValidation>
    <dataValidation type="whole" operator="lessThanOrEqual" allowBlank="1" showErrorMessage="1" errorTitle="Mensagem de Erro" error="F não pode ser Superior a MF" sqref="G74">
      <formula1>F74</formula1>
    </dataValidation>
    <dataValidation type="whole" operator="lessThanOrEqual" allowBlank="1" showErrorMessage="1" errorTitle="Mensagem de Erro" error="F não pode ser Superior a MF" sqref="G76">
      <formula1>F76</formula1>
    </dataValidation>
    <dataValidation type="whole" operator="lessThanOrEqual" allowBlank="1" showErrorMessage="1" errorTitle="Mensagem de Erro" error="F não pode ser Superior a MF" sqref="G77">
      <formula1>F77</formula1>
    </dataValidation>
    <dataValidation type="whole" operator="lessThanOrEqual" allowBlank="1" showErrorMessage="1" errorTitle="Mensagem de Erro" error="F não pode ser Superior a MF" sqref="G78">
      <formula1>F78</formula1>
    </dataValidation>
    <dataValidation type="whole" operator="lessThanOrEqual" allowBlank="1" showErrorMessage="1" errorTitle="Mensagem de Erro" error="F não pode ser Superior a MF" sqref="G79">
      <formula1>F79</formula1>
    </dataValidation>
    <dataValidation type="whole" operator="lessThanOrEqual" allowBlank="1" showErrorMessage="1" errorTitle="Mensagem de Erro" error="F não pode ser Superior a MF" sqref="G80">
      <formula1>F80</formula1>
    </dataValidation>
    <dataValidation type="whole" operator="lessThanOrEqual" allowBlank="1" showErrorMessage="1" errorTitle="Mensagem de Erro" error="F não pode ser Superior a MF" sqref="G81">
      <formula1>F81</formula1>
    </dataValidation>
    <dataValidation type="whole" operator="lessThanOrEqual" allowBlank="1" showErrorMessage="1" errorTitle="Mensagem de Erro" error="F não pode ser Superior a MF" sqref="H10">
      <formula1>G10</formula1>
    </dataValidation>
    <dataValidation type="whole" operator="lessThanOrEqual" allowBlank="1" showErrorMessage="1" errorTitle="Mensagem de Erro" error="F não pode ser Superior a MF" sqref="H100">
      <formula1>G100</formula1>
    </dataValidation>
    <dataValidation type="whole" operator="lessThanOrEqual" allowBlank="1" showErrorMessage="1" errorTitle="Mensagem de Erro" error="F não pode ser Superior a MF" sqref="H101">
      <formula1>G101</formula1>
    </dataValidation>
    <dataValidation type="whole" operator="lessThanOrEqual" allowBlank="1" showErrorMessage="1" errorTitle="Mensagem de Erro" error="F não pode ser Superior a MF" sqref="H11">
      <formula1>G11</formula1>
    </dataValidation>
    <dataValidation type="whole" operator="lessThanOrEqual" allowBlank="1" showErrorMessage="1" errorTitle="Mensagem de Erro" error="F não pode ser Superior a MF" sqref="H113">
      <formula1>G113</formula1>
    </dataValidation>
    <dataValidation type="whole" operator="lessThanOrEqual" allowBlank="1" showErrorMessage="1" errorTitle="Mensagem de Erro" error="F não pode ser Superior a MF" sqref="H114">
      <formula1>G114</formula1>
    </dataValidation>
    <dataValidation type="whole" operator="lessThanOrEqual" allowBlank="1" showErrorMessage="1" errorTitle="Mensagem de Erro" error="F não pode ser Superior a MF" sqref="H115">
      <formula1>G115</formula1>
    </dataValidation>
    <dataValidation type="whole" operator="lessThanOrEqual" allowBlank="1" showErrorMessage="1" errorTitle="Mensagem de Erro" error="F não pode ser Superior a MF" sqref="H117">
      <formula1>G117</formula1>
    </dataValidation>
    <dataValidation type="whole" operator="lessThanOrEqual" allowBlank="1" showErrorMessage="1" errorTitle="Mensagem de Erro" error="F não pode ser Superior a MF" sqref="H118">
      <formula1>G118</formula1>
    </dataValidation>
    <dataValidation type="whole" operator="lessThanOrEqual" allowBlank="1" showErrorMessage="1" errorTitle="Mensagem de Erro" error="F não pode ser Superior a MF" sqref="H119">
      <formula1>G119</formula1>
    </dataValidation>
    <dataValidation type="whole" operator="lessThanOrEqual" allowBlank="1" showErrorMessage="1" errorTitle="Mensagem de Erro" error="F não pode ser Superior a MF" sqref="H12">
      <formula1>G12</formula1>
    </dataValidation>
    <dataValidation type="whole" operator="lessThanOrEqual" allowBlank="1" showErrorMessage="1" errorTitle="Mensagem de Erro" error="F não pode ser Superior a MF" sqref="H121">
      <formula1>G121</formula1>
    </dataValidation>
    <dataValidation type="whole" operator="lessThanOrEqual" allowBlank="1" showErrorMessage="1" errorTitle="Mensagem de Erro" error="F não pode ser Superior a MF" sqref="H122">
      <formula1>G122</formula1>
    </dataValidation>
    <dataValidation type="whole" operator="lessThanOrEqual" allowBlank="1" showErrorMessage="1" errorTitle="Mensagem de Erro" error="F não pode ser Superior a MF" sqref="H123">
      <formula1>G123</formula1>
    </dataValidation>
    <dataValidation type="whole" operator="lessThanOrEqual" allowBlank="1" showErrorMessage="1" errorTitle="Mensagem de Erro" error="F não pode ser Superior a MF" sqref="H13">
      <formula1>G13</formula1>
    </dataValidation>
    <dataValidation type="whole" operator="lessThanOrEqual" allowBlank="1" showErrorMessage="1" errorTitle="Mensagem de Erro" error="F não pode ser Superior a MF" sqref="H137">
      <formula1>G137</formula1>
    </dataValidation>
    <dataValidation type="whole" operator="lessThanOrEqual" allowBlank="1" showErrorMessage="1" errorTitle="Mensagem de Erro" error="F não pode ser Superior a MF" sqref="H138">
      <formula1>G138</formula1>
    </dataValidation>
    <dataValidation type="whole" operator="lessThanOrEqual" allowBlank="1" showErrorMessage="1" errorTitle="Mensagem de Erro" error="F não pode ser Superior a MF" sqref="H139">
      <formula1>G139</formula1>
    </dataValidation>
    <dataValidation type="whole" operator="lessThanOrEqual" allowBlank="1" showErrorMessage="1" errorTitle="Mensagem de Erro" error="F não pode ser Superior a MF" sqref="H14">
      <formula1>G14</formula1>
    </dataValidation>
    <dataValidation type="whole" operator="lessThanOrEqual" allowBlank="1" showErrorMessage="1" errorTitle="Mensagem de Erro" error="F não pode ser Superior a MF" sqref="H141">
      <formula1>G141</formula1>
    </dataValidation>
    <dataValidation type="whole" operator="lessThanOrEqual" allowBlank="1" showErrorMessage="1" errorTitle="Mensagem de Erro" error="F não pode ser Superior a MF" sqref="H142">
      <formula1>G142</formula1>
    </dataValidation>
    <dataValidation type="whole" operator="lessThanOrEqual" allowBlank="1" showErrorMessage="1" errorTitle="Mensagem de Erro" error="F não pode ser Superior a MF" sqref="H143">
      <formula1>G143</formula1>
    </dataValidation>
    <dataValidation type="whole" operator="lessThanOrEqual" allowBlank="1" showErrorMessage="1" errorTitle="Mensagem de Erro" error="F não pode ser Superior a MF" sqref="H145">
      <formula1>G145</formula1>
    </dataValidation>
    <dataValidation type="whole" operator="lessThanOrEqual" allowBlank="1" showErrorMessage="1" errorTitle="Mensagem de Erro" error="F não pode ser Superior a MF" sqref="H146">
      <formula1>G146</formula1>
    </dataValidation>
    <dataValidation type="whole" operator="lessThanOrEqual" allowBlank="1" showErrorMessage="1" errorTitle="Mensagem de Erro" error="F não pode ser Superior a MF" sqref="H147">
      <formula1>G147</formula1>
    </dataValidation>
    <dataValidation type="whole" operator="lessThanOrEqual" allowBlank="1" showErrorMessage="1" errorTitle="Mensagem de Erro" error="F não pode ser Superior a MF" sqref="H15">
      <formula1>G15</formula1>
    </dataValidation>
    <dataValidation type="whole" operator="lessThanOrEqual" allowBlank="1" showErrorMessage="1" errorTitle="Mensagem de Erro" error="F não pode ser Superior a MF" sqref="H16">
      <formula1>G16</formula1>
    </dataValidation>
    <dataValidation type="whole" operator="lessThanOrEqual" allowBlank="1" showErrorMessage="1" errorTitle="Mensagem de Erro" error="F não pode ser Superior a MF" sqref="H163">
      <formula1>G163</formula1>
    </dataValidation>
    <dataValidation type="whole" operator="lessThanOrEqual" allowBlank="1" showErrorMessage="1" errorTitle="Mensagem de Erro" error="F não pode ser Superior a MF" sqref="H164">
      <formula1>G164</formula1>
    </dataValidation>
    <dataValidation type="whole" operator="lessThanOrEqual" allowBlank="1" showErrorMessage="1" errorTitle="Mensagem de Erro" error="F não pode ser Superior a MF" sqref="H165">
      <formula1>G165</formula1>
    </dataValidation>
    <dataValidation type="whole" operator="lessThanOrEqual" allowBlank="1" showErrorMessage="1" errorTitle="Mensagem de Erro" error="F não pode ser Superior a MF" sqref="H167">
      <formula1>G167</formula1>
    </dataValidation>
    <dataValidation type="whole" operator="lessThanOrEqual" allowBlank="1" showErrorMessage="1" errorTitle="Mensagem de Erro" error="F não pode ser Superior a MF" sqref="H168">
      <formula1>G168</formula1>
    </dataValidation>
    <dataValidation type="whole" operator="lessThanOrEqual" allowBlank="1" showErrorMessage="1" errorTitle="Mensagem de Erro" error="F não pode ser Superior a MF" sqref="H169">
      <formula1>G169</formula1>
    </dataValidation>
    <dataValidation type="whole" operator="lessThanOrEqual" allowBlank="1" showErrorMessage="1" errorTitle="Mensagem de Erro" error="F não pode ser Superior a MF" sqref="H17">
      <formula1>G17</formula1>
    </dataValidation>
    <dataValidation type="whole" operator="lessThanOrEqual" allowBlank="1" showErrorMessage="1" errorTitle="Mensagem de Erro" error="F não pode ser Superior a MF" sqref="H171">
      <formula1>G171</formula1>
    </dataValidation>
    <dataValidation type="whole" operator="lessThanOrEqual" allowBlank="1" showErrorMessage="1" errorTitle="Mensagem de Erro" error="F não pode ser Superior a MF" sqref="H172">
      <formula1>G172</formula1>
    </dataValidation>
    <dataValidation type="whole" operator="lessThanOrEqual" allowBlank="1" showErrorMessage="1" errorTitle="Mensagem de Erro" error="F não pode ser Superior a MF" sqref="H173">
      <formula1>G173</formula1>
    </dataValidation>
    <dataValidation type="whole" operator="lessThanOrEqual" allowBlank="1" showErrorMessage="1" errorTitle="Mensagem de Erro" error="F não pode ser Superior a MF" sqref="H18">
      <formula1>G18</formula1>
    </dataValidation>
    <dataValidation type="whole" operator="lessThanOrEqual" allowBlank="1" showErrorMessage="1" errorTitle="Mensagem de Erro" error="F não pode ser Superior a MF" sqref="H185">
      <formula1>G185</formula1>
    </dataValidation>
    <dataValidation type="whole" operator="lessThanOrEqual" allowBlank="1" showErrorMessage="1" errorTitle="Mensagem de Erro" error="F não pode ser Superior a MF" sqref="H186">
      <formula1>G186</formula1>
    </dataValidation>
    <dataValidation type="whole" operator="lessThanOrEqual" allowBlank="1" showErrorMessage="1" errorTitle="Mensagem de Erro" error="F não pode ser Superior a MF" sqref="H187">
      <formula1>G187</formula1>
    </dataValidation>
    <dataValidation type="whole" operator="lessThanOrEqual" allowBlank="1" showErrorMessage="1" errorTitle="Mensagem de Erro" error="F não pode ser Superior a MF" sqref="H19">
      <formula1>G19</formula1>
    </dataValidation>
    <dataValidation type="whole" operator="lessThanOrEqual" allowBlank="1" showErrorMessage="1" errorTitle="Mensagem de Erro" error="F não pode ser Superior a MF" sqref="H199">
      <formula1>G199</formula1>
    </dataValidation>
    <dataValidation type="whole" operator="lessThanOrEqual" allowBlank="1" showErrorMessage="1" errorTitle="Mensagem de Erro" error="F não pode ser Superior a MF" sqref="H20">
      <formula1>G20</formula1>
    </dataValidation>
    <dataValidation type="whole" operator="lessThanOrEqual" allowBlank="1" showErrorMessage="1" errorTitle="Mensagem de Erro" error="F não pode ser Superior a MF" sqref="H200">
      <formula1>G200</formula1>
    </dataValidation>
    <dataValidation type="whole" operator="lessThanOrEqual" allowBlank="1" showErrorMessage="1" errorTitle="Mensagem de Erro" error="F não pode ser Superior a MF" sqref="H201">
      <formula1>G201</formula1>
    </dataValidation>
    <dataValidation type="whole" operator="lessThanOrEqual" allowBlank="1" showErrorMessage="1" errorTitle="Mensagem de Erro" error="F não pode ser Superior a MF" sqref="H203">
      <formula1>G203</formula1>
    </dataValidation>
    <dataValidation type="whole" operator="lessThanOrEqual" allowBlank="1" showErrorMessage="1" errorTitle="Mensagem de Erro" error="F não pode ser Superior a MF" sqref="H204">
      <formula1>G204</formula1>
    </dataValidation>
    <dataValidation type="whole" operator="lessThanOrEqual" allowBlank="1" showErrorMessage="1" errorTitle="Mensagem de Erro" error="F não pode ser Superior a MF" sqref="H205">
      <formula1>G205</formula1>
    </dataValidation>
    <dataValidation type="whole" operator="lessThanOrEqual" allowBlank="1" showErrorMessage="1" errorTitle="Mensagem de Erro" error="F não pode ser Superior a MF" sqref="H207">
      <formula1>G207</formula1>
    </dataValidation>
    <dataValidation type="whole" operator="lessThanOrEqual" allowBlank="1" showErrorMessage="1" errorTitle="Mensagem de Erro" error="F não pode ser Superior a MF" sqref="H208">
      <formula1>G208</formula1>
    </dataValidation>
    <dataValidation type="whole" operator="lessThanOrEqual" allowBlank="1" showErrorMessage="1" errorTitle="Mensagem de Erro" error="F não pode ser Superior a MF" sqref="H209">
      <formula1>G209</formula1>
    </dataValidation>
    <dataValidation type="whole" operator="lessThanOrEqual" allowBlank="1" showErrorMessage="1" errorTitle="Mensagem de Erro" error="F não pode ser Superior a MF" sqref="H21">
      <formula1>G21</formula1>
    </dataValidation>
    <dataValidation type="whole" operator="lessThanOrEqual" allowBlank="1" showErrorMessage="1" errorTitle="Mensagem de Erro" error="F não pode ser Superior a MF" sqref="H22">
      <formula1>G22</formula1>
    </dataValidation>
    <dataValidation type="whole" operator="lessThanOrEqual" allowBlank="1" showErrorMessage="1" errorTitle="Mensagem de Erro" error="F não pode ser Superior a MF" sqref="H223">
      <formula1>G223</formula1>
    </dataValidation>
    <dataValidation type="whole" operator="lessThanOrEqual" allowBlank="1" showErrorMessage="1" errorTitle="Mensagem de Erro" error="F não pode ser Superior a MF" sqref="H224">
      <formula1>G224</formula1>
    </dataValidation>
    <dataValidation type="whole" operator="lessThanOrEqual" allowBlank="1" showErrorMessage="1" errorTitle="Mensagem de Erro" error="F não pode ser Superior a MF" sqref="H226">
      <formula1>G226</formula1>
    </dataValidation>
    <dataValidation type="whole" operator="lessThanOrEqual" allowBlank="1" showErrorMessage="1" errorTitle="Mensagem de Erro" error="F não pode ser Superior a MF" sqref="H227">
      <formula1>G227</formula1>
    </dataValidation>
    <dataValidation type="whole" operator="lessThanOrEqual" allowBlank="1" showErrorMessage="1" errorTitle="Mensagem de Erro" error="F não pode ser Superior a MF" sqref="H229">
      <formula1>G229</formula1>
    </dataValidation>
    <dataValidation type="whole" operator="lessThanOrEqual" allowBlank="1" showErrorMessage="1" errorTitle="Mensagem de Erro" error="F não pode ser Superior a MF" sqref="H23">
      <formula1>G23</formula1>
    </dataValidation>
    <dataValidation type="whole" operator="lessThanOrEqual" allowBlank="1" showErrorMessage="1" errorTitle="Mensagem de Erro" error="F não pode ser Superior a MF" sqref="H230">
      <formula1>G230</formula1>
    </dataValidation>
    <dataValidation type="whole" operator="lessThanOrEqual" allowBlank="1" showErrorMessage="1" errorTitle="Mensagem de Erro" error="F não pode ser Superior a MF" sqref="H24">
      <formula1>G24</formula1>
    </dataValidation>
    <dataValidation type="whole" operator="lessThanOrEqual" allowBlank="1" showErrorMessage="1" errorTitle="Mensagem de Erro" error="F não pode ser Superior a MF" sqref="H245">
      <formula1>G245</formula1>
    </dataValidation>
    <dataValidation type="whole" operator="lessThanOrEqual" allowBlank="1" showErrorMessage="1" errorTitle="Mensagem de Erro" error="F não pode ser Superior a MF" sqref="H246">
      <formula1>G246</formula1>
    </dataValidation>
    <dataValidation type="whole" operator="lessThanOrEqual" allowBlank="1" showErrorMessage="1" errorTitle="Mensagem de Erro" error="F não pode ser Superior a MF" sqref="H247">
      <formula1>G247</formula1>
    </dataValidation>
    <dataValidation type="whole" operator="lessThanOrEqual" allowBlank="1" showErrorMessage="1" errorTitle="Mensagem de Erro" error="F não pode ser Superior a MF" sqref="H249">
      <formula1>G249</formula1>
    </dataValidation>
    <dataValidation type="whole" operator="lessThanOrEqual" allowBlank="1" showErrorMessage="1" errorTitle="Mensagem de Erro" error="F não pode ser Superior a MF" sqref="H25">
      <formula1>G25</formula1>
    </dataValidation>
    <dataValidation type="whole" operator="lessThanOrEqual" allowBlank="1" showErrorMessage="1" errorTitle="Mensagem de Erro" error="F não pode ser Superior a MF" sqref="H250">
      <formula1>G250</formula1>
    </dataValidation>
    <dataValidation type="whole" operator="lessThanOrEqual" allowBlank="1" showErrorMessage="1" errorTitle="Mensagem de Erro" error="F não pode ser Superior a MF" sqref="H251">
      <formula1>G251</formula1>
    </dataValidation>
    <dataValidation type="whole" operator="lessThanOrEqual" allowBlank="1" showErrorMessage="1" errorTitle="Mensagem de Erro" error="F não pode ser Superior a MF" sqref="H253">
      <formula1>G253</formula1>
    </dataValidation>
    <dataValidation type="whole" operator="lessThanOrEqual" allowBlank="1" showErrorMessage="1" errorTitle="Mensagem de Erro" error="F não pode ser Superior a MF" sqref="H254">
      <formula1>G254</formula1>
    </dataValidation>
    <dataValidation type="whole" operator="lessThanOrEqual" allowBlank="1" showErrorMessage="1" errorTitle="Mensagem de Erro" error="F não pode ser Superior a MF" sqref="H255">
      <formula1>G255</formula1>
    </dataValidation>
    <dataValidation type="whole" operator="lessThanOrEqual" allowBlank="1" showErrorMessage="1" errorTitle="Mensagem de Erro" error="F não pode ser Superior a MF" sqref="H26">
      <formula1>G26</formula1>
    </dataValidation>
    <dataValidation type="whole" operator="lessThanOrEqual" allowBlank="1" showErrorMessage="1" errorTitle="Mensagem de Erro" error="F não pode ser Superior a MF" sqref="H267">
      <formula1>G267</formula1>
    </dataValidation>
    <dataValidation type="whole" operator="lessThanOrEqual" allowBlank="1" showErrorMessage="1" errorTitle="Mensagem de Erro" error="F não pode ser Superior a MF" sqref="H268">
      <formula1>G268</formula1>
    </dataValidation>
    <dataValidation type="whole" operator="lessThanOrEqual" allowBlank="1" showErrorMessage="1" errorTitle="Mensagem de Erro" error="F não pode ser Superior a MF" sqref="H269">
      <formula1>G269</formula1>
    </dataValidation>
    <dataValidation type="whole" operator="lessThanOrEqual" allowBlank="1" showErrorMessage="1" errorTitle="Mensagem de Erro" error="F não pode ser Superior a MF" sqref="H27">
      <formula1>G27</formula1>
    </dataValidation>
    <dataValidation type="whole" operator="lessThanOrEqual" allowBlank="1" showErrorMessage="1" errorTitle="Mensagem de Erro" error="F não pode ser Superior a MF" sqref="H270">
      <formula1>G270</formula1>
    </dataValidation>
    <dataValidation type="whole" operator="lessThanOrEqual" allowBlank="1" showErrorMessage="1" errorTitle="Mensagem de Erro" error="F não pode ser Superior a MF" sqref="H280">
      <formula1>G280</formula1>
    </dataValidation>
    <dataValidation type="whole" operator="lessThanOrEqual" allowBlank="1" showErrorMessage="1" errorTitle="Mensagem de Erro" error="F não pode ser Superior a MF" sqref="H281">
      <formula1>G281</formula1>
    </dataValidation>
    <dataValidation type="whole" operator="lessThanOrEqual" allowBlank="1" showErrorMessage="1" errorTitle="Mensagem de Erro" error="F não pode ser Superior a MF" sqref="H282">
      <formula1>G282</formula1>
    </dataValidation>
    <dataValidation type="whole" operator="lessThanOrEqual" allowBlank="1" showErrorMessage="1" errorTitle="Mensagem de Erro" error="F não pode ser Superior a MF" sqref="H283">
      <formula1>G283</formula1>
    </dataValidation>
    <dataValidation type="whole" operator="lessThanOrEqual" allowBlank="1" showErrorMessage="1" errorTitle="Mensagem de Erro" error="F não pode ser Superior a MF" sqref="H285">
      <formula1>G285</formula1>
    </dataValidation>
    <dataValidation type="whole" operator="lessThanOrEqual" allowBlank="1" showErrorMessage="1" errorTitle="Mensagem de Erro" error="F não pode ser Superior a MF" sqref="H286">
      <formula1>G286</formula1>
    </dataValidation>
    <dataValidation type="whole" operator="lessThanOrEqual" allowBlank="1" showErrorMessage="1" errorTitle="Mensagem de Erro" error="F não pode ser Superior a MF" sqref="H287">
      <formula1>G287</formula1>
    </dataValidation>
    <dataValidation type="whole" operator="lessThanOrEqual" allowBlank="1" showErrorMessage="1" errorTitle="Mensagem de Erro" error="F não pode ser Superior a MF" sqref="H288">
      <formula1>G288</formula1>
    </dataValidation>
    <dataValidation type="whole" operator="lessThanOrEqual" allowBlank="1" showErrorMessage="1" errorTitle="Mensagem de Erro" error="F não pode ser Superior a MF" sqref="H290">
      <formula1>G290</formula1>
    </dataValidation>
    <dataValidation type="whole" operator="lessThanOrEqual" allowBlank="1" showErrorMessage="1" errorTitle="Mensagem de Erro" error="F não pode ser Superior a MF" sqref="H291">
      <formula1>G291</formula1>
    </dataValidation>
    <dataValidation type="whole" operator="lessThanOrEqual" allowBlank="1" showErrorMessage="1" errorTitle="Mensagem de Erro" error="F não pode ser Superior a MF" sqref="H292">
      <formula1>G292</formula1>
    </dataValidation>
    <dataValidation type="whole" operator="lessThanOrEqual" allowBlank="1" showErrorMessage="1" errorTitle="Mensagem de Erro" error="F não pode ser Superior a MF" sqref="H293">
      <formula1>G293</formula1>
    </dataValidation>
    <dataValidation type="whole" operator="lessThanOrEqual" allowBlank="1" showErrorMessage="1" errorTitle="Mensagem de Erro" error="F não pode ser Superior a MF" sqref="H306">
      <formula1>G306</formula1>
    </dataValidation>
    <dataValidation type="whole" operator="lessThanOrEqual" allowBlank="1" showErrorMessage="1" errorTitle="Mensagem de Erro" error="F não pode ser Superior a MF" sqref="H307">
      <formula1>G307</formula1>
    </dataValidation>
    <dataValidation type="whole" operator="lessThanOrEqual" allowBlank="1" showErrorMessage="1" errorTitle="Mensagem de Erro" error="F não pode ser Superior a MF" sqref="H308">
      <formula1>G308</formula1>
    </dataValidation>
    <dataValidation type="whole" operator="lessThanOrEqual" allowBlank="1" showErrorMessage="1" errorTitle="Mensagem de Erro" error="F não pode ser Superior a MF" sqref="H309">
      <formula1>G309</formula1>
    </dataValidation>
    <dataValidation type="whole" operator="lessThanOrEqual" allowBlank="1" showErrorMessage="1" errorTitle="Mensagem de Erro" error="F não pode ser Superior a MF" sqref="H311">
      <formula1>G311</formula1>
    </dataValidation>
    <dataValidation type="whole" operator="lessThanOrEqual" allowBlank="1" showErrorMessage="1" errorTitle="Mensagem de Erro" error="F não pode ser Superior a MF" sqref="H312">
      <formula1>G312</formula1>
    </dataValidation>
    <dataValidation type="whole" operator="lessThanOrEqual" allowBlank="1" showErrorMessage="1" errorTitle="Mensagem de Erro" error="F não pode ser Superior a MF" sqref="H313">
      <formula1>G313</formula1>
    </dataValidation>
    <dataValidation type="whole" operator="lessThanOrEqual" allowBlank="1" showErrorMessage="1" errorTitle="Mensagem de Erro" error="F não pode ser Superior a MF" sqref="H314">
      <formula1>G314</formula1>
    </dataValidation>
    <dataValidation type="whole" operator="lessThanOrEqual" allowBlank="1" showErrorMessage="1" errorTitle="Mensagem de Erro" error="F não pode ser Superior a MF" sqref="H316">
      <formula1>G316</formula1>
    </dataValidation>
    <dataValidation type="whole" operator="lessThanOrEqual" allowBlank="1" showErrorMessage="1" errorTitle="Mensagem de Erro" error="F não pode ser Superior a MF" sqref="H317">
      <formula1>G317</formula1>
    </dataValidation>
    <dataValidation type="whole" operator="lessThanOrEqual" allowBlank="1" showErrorMessage="1" errorTitle="Mensagem de Erro" error="F não pode ser Superior a MF" sqref="H318">
      <formula1>G318</formula1>
    </dataValidation>
    <dataValidation type="whole" operator="lessThanOrEqual" allowBlank="1" showErrorMessage="1" errorTitle="Mensagem de Erro" error="F não pode ser Superior a MF" sqref="H319">
      <formula1>G319</formula1>
    </dataValidation>
    <dataValidation type="whole" operator="lessThanOrEqual" allowBlank="1" showErrorMessage="1" errorTitle="Mensagem de Erro" error="F não pode ser Superior a MF" sqref="H37">
      <formula1>G37</formula1>
    </dataValidation>
    <dataValidation type="whole" operator="lessThanOrEqual" allowBlank="1" showErrorMessage="1" errorTitle="Mensagem de Erro" error="F não pode ser Superior a MF" sqref="H38">
      <formula1>G38</formula1>
    </dataValidation>
    <dataValidation type="whole" operator="lessThanOrEqual" allowBlank="1" showErrorMessage="1" errorTitle="Mensagem de Erro" error="F não pode ser Superior a MF" sqref="H39">
      <formula1>G39</formula1>
    </dataValidation>
    <dataValidation type="whole" operator="lessThanOrEqual" allowBlank="1" showErrorMessage="1" errorTitle="Mensagem de Erro" error="F não pode ser Superior a MF" sqref="H46">
      <formula1>G46</formula1>
    </dataValidation>
    <dataValidation type="whole" operator="lessThanOrEqual" allowBlank="1" showErrorMessage="1" errorTitle="Mensagem de Erro" error="F não pode ser Superior a MF" sqref="H47">
      <formula1>G47</formula1>
    </dataValidation>
    <dataValidation type="whole" operator="lessThanOrEqual" allowBlank="1" showErrorMessage="1" errorTitle="Mensagem de Erro" error="F não pode ser Superior a MF" sqref="H48">
      <formula1>G48</formula1>
    </dataValidation>
    <dataValidation type="whole" operator="lessThanOrEqual" allowBlank="1" showErrorMessage="1" errorTitle="Mensagem de Erro" error="F não pode ser Superior a MF" sqref="H96">
      <formula1>G96</formula1>
    </dataValidation>
    <dataValidation type="whole" operator="lessThanOrEqual" allowBlank="1" showErrorMessage="1" errorTitle="Mensagem de Erro" error="F não pode ser Superior a MF" sqref="H97">
      <formula1>G97</formula1>
    </dataValidation>
    <dataValidation type="whole" operator="lessThanOrEqual" allowBlank="1" showErrorMessage="1" errorTitle="Mensagem de Erro" error="F não pode ser Superior a MF" sqref="H98">
      <formula1>G98</formula1>
    </dataValidation>
    <dataValidation type="whole" operator="lessThanOrEqual" allowBlank="1" showErrorMessage="1" errorTitle="Mensagem de Erro" error="F não pode ser Superior a MF" sqref="H99">
      <formula1>G99</formula1>
    </dataValidation>
    <dataValidation type="whole" operator="lessThanOrEqual" allowBlank="1" showErrorMessage="1" errorTitle="Mensagem de Erro" error="F não pode ser Superior a MF" sqref="I62">
      <formula1>H62</formula1>
    </dataValidation>
    <dataValidation type="whole" operator="lessThanOrEqual" allowBlank="1" showErrorMessage="1" errorTitle="Mensagem de Erro" error="F não pode ser Superior a MF" sqref="I63">
      <formula1>H63</formula1>
    </dataValidation>
    <dataValidation type="whole" operator="lessThanOrEqual" allowBlank="1" showErrorMessage="1" errorTitle="Mensagem de Erro" error="F não pode ser Superior a MF" sqref="I64">
      <formula1>H64</formula1>
    </dataValidation>
    <dataValidation type="whole" operator="lessThanOrEqual" allowBlank="1" showErrorMessage="1" errorTitle="Mensagem de Erro" error="F não pode ser Superior a MF" sqref="I65">
      <formula1>H65</formula1>
    </dataValidation>
    <dataValidation type="whole" operator="lessThanOrEqual" allowBlank="1" showErrorMessage="1" errorTitle="Mensagem de Erro" error="F não pode ser Superior a MF" sqref="I66">
      <formula1>H66</formula1>
    </dataValidation>
    <dataValidation type="whole" operator="lessThanOrEqual" allowBlank="1" showErrorMessage="1" errorTitle="Mensagem de Erro" error="F não pode ser Superior a MF" sqref="I67">
      <formula1>H67</formula1>
    </dataValidation>
    <dataValidation type="whole" operator="lessThanOrEqual" allowBlank="1" showErrorMessage="1" errorTitle="Mensagem de Erro" error="F não pode ser Superior a MF" sqref="I69">
      <formula1>H69</formula1>
    </dataValidation>
    <dataValidation type="whole" operator="lessThanOrEqual" allowBlank="1" showErrorMessage="1" errorTitle="Mensagem de Erro" error="F não pode ser Superior a MF" sqref="I70">
      <formula1>H70</formula1>
    </dataValidation>
    <dataValidation type="whole" operator="lessThanOrEqual" allowBlank="1" showErrorMessage="1" errorTitle="Mensagem de Erro" error="F não pode ser Superior a MF" sqref="I71">
      <formula1>H71</formula1>
    </dataValidation>
    <dataValidation type="whole" operator="lessThanOrEqual" allowBlank="1" showErrorMessage="1" errorTitle="Mensagem de Erro" error="F não pode ser Superior a MF" sqref="I72">
      <formula1>H72</formula1>
    </dataValidation>
    <dataValidation type="whole" operator="lessThanOrEqual" allowBlank="1" showErrorMessage="1" errorTitle="Mensagem de Erro" error="F não pode ser Superior a MF" sqref="I73">
      <formula1>H73</formula1>
    </dataValidation>
    <dataValidation type="whole" operator="lessThanOrEqual" allowBlank="1" showErrorMessage="1" errorTitle="Mensagem de Erro" error="F não pode ser Superior a MF" sqref="I74">
      <formula1>H74</formula1>
    </dataValidation>
    <dataValidation type="whole" operator="lessThanOrEqual" allowBlank="1" showErrorMessage="1" errorTitle="Mensagem de Erro" error="F não pode ser Superior a MF" sqref="I76">
      <formula1>H76</formula1>
    </dataValidation>
    <dataValidation type="whole" operator="lessThanOrEqual" allowBlank="1" showErrorMessage="1" errorTitle="Mensagem de Erro" error="F não pode ser Superior a MF" sqref="I77">
      <formula1>H77</formula1>
    </dataValidation>
    <dataValidation type="whole" operator="lessThanOrEqual" allowBlank="1" showErrorMessage="1" errorTitle="Mensagem de Erro" error="F não pode ser Superior a MF" sqref="I78">
      <formula1>H78</formula1>
    </dataValidation>
    <dataValidation type="whole" operator="lessThanOrEqual" allowBlank="1" showErrorMessage="1" errorTitle="Mensagem de Erro" error="F não pode ser Superior a MF" sqref="I79">
      <formula1>H79</formula1>
    </dataValidation>
    <dataValidation type="whole" operator="lessThanOrEqual" allowBlank="1" showErrorMessage="1" errorTitle="Mensagem de Erro" error="F não pode ser Superior a MF" sqref="I80">
      <formula1>H80</formula1>
    </dataValidation>
    <dataValidation type="whole" operator="lessThanOrEqual" allowBlank="1" showErrorMessage="1" errorTitle="Mensagem de Erro" error="F não pode ser Superior a MF" sqref="I81">
      <formula1>H81</formula1>
    </dataValidation>
    <dataValidation type="whole" operator="lessThanOrEqual" allowBlank="1" showErrorMessage="1" errorTitle="Mensagem de Erro" error="F não pode ser Superior a MF" sqref="J10">
      <formula1>I10</formula1>
    </dataValidation>
    <dataValidation type="whole" operator="lessThanOrEqual" allowBlank="1" showErrorMessage="1" errorTitle="Mensagem de Erro" error="F não pode ser Superior a MF" sqref="J100">
      <formula1>I100</formula1>
    </dataValidation>
    <dataValidation type="whole" operator="lessThanOrEqual" allowBlank="1" showErrorMessage="1" errorTitle="Mensagem de Erro" error="F não pode ser Superior a MF" sqref="J101">
      <formula1>I101</formula1>
    </dataValidation>
    <dataValidation type="whole" operator="lessThanOrEqual" allowBlank="1" showErrorMessage="1" errorTitle="Mensagem de Erro" error="F não pode ser Superior a MF" sqref="J11">
      <formula1>I11</formula1>
    </dataValidation>
    <dataValidation type="whole" operator="lessThanOrEqual" allowBlank="1" showErrorMessage="1" errorTitle="Mensagem de Erro" error="F não pode ser Superior a MF" sqref="J113">
      <formula1>I113</formula1>
    </dataValidation>
    <dataValidation type="whole" operator="lessThanOrEqual" allowBlank="1" showErrorMessage="1" errorTitle="Mensagem de Erro" error="F não pode ser Superior a MF" sqref="J114">
      <formula1>I114</formula1>
    </dataValidation>
    <dataValidation type="whole" operator="lessThanOrEqual" allowBlank="1" showErrorMessage="1" errorTitle="Mensagem de Erro" error="F não pode ser Superior a MF" sqref="J115">
      <formula1>I115</formula1>
    </dataValidation>
    <dataValidation type="whole" operator="lessThanOrEqual" allowBlank="1" showErrorMessage="1" errorTitle="Mensagem de Erro" error="F não pode ser Superior a MF" sqref="J117">
      <formula1>I117</formula1>
    </dataValidation>
    <dataValidation type="whole" operator="lessThanOrEqual" allowBlank="1" showErrorMessage="1" errorTitle="Mensagem de Erro" error="F não pode ser Superior a MF" sqref="J118">
      <formula1>I118</formula1>
    </dataValidation>
    <dataValidation type="whole" operator="lessThanOrEqual" allowBlank="1" showErrorMessage="1" errorTitle="Mensagem de Erro" error="F não pode ser Superior a MF" sqref="J119">
      <formula1>I119</formula1>
    </dataValidation>
    <dataValidation type="whole" operator="lessThanOrEqual" allowBlank="1" showErrorMessage="1" errorTitle="Mensagem de Erro" error="F não pode ser Superior a MF" sqref="J12">
      <formula1>I12</formula1>
    </dataValidation>
    <dataValidation type="whole" operator="lessThanOrEqual" allowBlank="1" showErrorMessage="1" errorTitle="Mensagem de Erro" error="F não pode ser Superior a MF" sqref="J121">
      <formula1>I121</formula1>
    </dataValidation>
    <dataValidation type="whole" operator="lessThanOrEqual" allowBlank="1" showErrorMessage="1" errorTitle="Mensagem de Erro" error="F não pode ser Superior a MF" sqref="J122">
      <formula1>I122</formula1>
    </dataValidation>
    <dataValidation type="whole" operator="lessThanOrEqual" allowBlank="1" showErrorMessage="1" errorTitle="Mensagem de Erro" error="F não pode ser Superior a MF" sqref="J123">
      <formula1>I123</formula1>
    </dataValidation>
    <dataValidation type="whole" operator="lessThanOrEqual" allowBlank="1" showErrorMessage="1" errorTitle="Mensagem de Erro" error="F não pode ser Superior a MF" sqref="J13">
      <formula1>I13</formula1>
    </dataValidation>
    <dataValidation type="whole" operator="lessThanOrEqual" allowBlank="1" showErrorMessage="1" errorTitle="Mensagem de Erro" error="F não pode ser Superior a MF" sqref="J137">
      <formula1>I137</formula1>
    </dataValidation>
    <dataValidation type="whole" operator="lessThanOrEqual" allowBlank="1" showErrorMessage="1" errorTitle="Mensagem de Erro" error="F não pode ser Superior a MF" sqref="J138">
      <formula1>I138</formula1>
    </dataValidation>
    <dataValidation type="whole" operator="lessThanOrEqual" allowBlank="1" showErrorMessage="1" errorTitle="Mensagem de Erro" error="F não pode ser Superior a MF" sqref="J139">
      <formula1>I139</formula1>
    </dataValidation>
    <dataValidation type="whole" operator="lessThanOrEqual" allowBlank="1" showErrorMessage="1" errorTitle="Mensagem de Erro" error="F não pode ser Superior a MF" sqref="J14">
      <formula1>I14</formula1>
    </dataValidation>
    <dataValidation type="whole" operator="lessThanOrEqual" allowBlank="1" showErrorMessage="1" errorTitle="Mensagem de Erro" error="F não pode ser Superior a MF" sqref="J141">
      <formula1>I141</formula1>
    </dataValidation>
    <dataValidation type="whole" operator="lessThanOrEqual" allowBlank="1" showErrorMessage="1" errorTitle="Mensagem de Erro" error="F não pode ser Superior a MF" sqref="J142">
      <formula1>I142</formula1>
    </dataValidation>
    <dataValidation type="whole" operator="lessThanOrEqual" allowBlank="1" showErrorMessage="1" errorTitle="Mensagem de Erro" error="F não pode ser Superior a MF" sqref="J143">
      <formula1>I143</formula1>
    </dataValidation>
    <dataValidation type="whole" operator="lessThanOrEqual" allowBlank="1" showErrorMessage="1" errorTitle="Mensagem de Erro" error="F não pode ser Superior a MF" sqref="J145">
      <formula1>I145</formula1>
    </dataValidation>
    <dataValidation type="whole" operator="lessThanOrEqual" allowBlank="1" showErrorMessage="1" errorTitle="Mensagem de Erro" error="F não pode ser Superior a MF" sqref="J146">
      <formula1>I146</formula1>
    </dataValidation>
    <dataValidation type="whole" operator="lessThanOrEqual" allowBlank="1" showErrorMessage="1" errorTitle="Mensagem de Erro" error="F não pode ser Superior a MF" sqref="J147">
      <formula1>I147</formula1>
    </dataValidation>
    <dataValidation type="whole" operator="lessThanOrEqual" allowBlank="1" showErrorMessage="1" errorTitle="Mensagem de Erro" error="F não pode ser Superior a MF" sqref="J15">
      <formula1>I15</formula1>
    </dataValidation>
    <dataValidation type="whole" operator="lessThanOrEqual" allowBlank="1" showErrorMessage="1" errorTitle="Mensagem de Erro" error="F não pode ser Superior a MF" sqref="J16">
      <formula1>I16</formula1>
    </dataValidation>
    <dataValidation type="whole" operator="lessThanOrEqual" allowBlank="1" showErrorMessage="1" errorTitle="Mensagem de Erro" error="F não pode ser Superior a MF" sqref="J163">
      <formula1>I163</formula1>
    </dataValidation>
    <dataValidation type="whole" operator="lessThanOrEqual" allowBlank="1" showErrorMessage="1" errorTitle="Mensagem de Erro" error="F não pode ser Superior a MF" sqref="J164">
      <formula1>I164</formula1>
    </dataValidation>
    <dataValidation type="whole" operator="lessThanOrEqual" allowBlank="1" showErrorMessage="1" errorTitle="Mensagem de Erro" error="F não pode ser Superior a MF" sqref="J165">
      <formula1>I165</formula1>
    </dataValidation>
    <dataValidation type="whole" operator="lessThanOrEqual" allowBlank="1" showErrorMessage="1" errorTitle="Mensagem de Erro" error="F não pode ser Superior a MF" sqref="J167">
      <formula1>I167</formula1>
    </dataValidation>
    <dataValidation type="whole" operator="lessThanOrEqual" allowBlank="1" showErrorMessage="1" errorTitle="Mensagem de Erro" error="F não pode ser Superior a MF" sqref="J168">
      <formula1>I168</formula1>
    </dataValidation>
    <dataValidation type="whole" operator="lessThanOrEqual" allowBlank="1" showErrorMessage="1" errorTitle="Mensagem de Erro" error="F não pode ser Superior a MF" sqref="J169">
      <formula1>I169</formula1>
    </dataValidation>
    <dataValidation type="whole" operator="lessThanOrEqual" allowBlank="1" showErrorMessage="1" errorTitle="Mensagem de Erro" error="F não pode ser Superior a MF" sqref="J17">
      <formula1>I17</formula1>
    </dataValidation>
    <dataValidation type="whole" operator="lessThanOrEqual" allowBlank="1" showErrorMessage="1" errorTitle="Mensagem de Erro" error="F não pode ser Superior a MF" sqref="J171">
      <formula1>I171</formula1>
    </dataValidation>
    <dataValidation type="whole" operator="lessThanOrEqual" allowBlank="1" showErrorMessage="1" errorTitle="Mensagem de Erro" error="F não pode ser Superior a MF" sqref="J172">
      <formula1>I172</formula1>
    </dataValidation>
    <dataValidation type="whole" operator="lessThanOrEqual" allowBlank="1" showErrorMessage="1" errorTitle="Mensagem de Erro" error="F não pode ser Superior a MF" sqref="J173">
      <formula1>I173</formula1>
    </dataValidation>
    <dataValidation type="whole" operator="lessThanOrEqual" allowBlank="1" showErrorMessage="1" errorTitle="Mensagem de Erro" error="F não pode ser Superior a MF" sqref="J18">
      <formula1>I18</formula1>
    </dataValidation>
    <dataValidation type="whole" operator="lessThanOrEqual" allowBlank="1" showErrorMessage="1" errorTitle="Mensagem de Erro" error="F não pode ser Superior a MF" sqref="J185">
      <formula1>I185</formula1>
    </dataValidation>
    <dataValidation type="whole" operator="lessThanOrEqual" allowBlank="1" showErrorMessage="1" errorTitle="Mensagem de Erro" error="F não pode ser Superior a MF" sqref="J186">
      <formula1>I186</formula1>
    </dataValidation>
    <dataValidation type="whole" operator="lessThanOrEqual" allowBlank="1" showErrorMessage="1" errorTitle="Mensagem de Erro" error="F não pode ser Superior a MF" sqref="J187">
      <formula1>I187</formula1>
    </dataValidation>
    <dataValidation type="whole" operator="lessThanOrEqual" allowBlank="1" showErrorMessage="1" errorTitle="Mensagem de Erro" error="F não pode ser Superior a MF" sqref="J19">
      <formula1>I19</formula1>
    </dataValidation>
    <dataValidation type="whole" operator="lessThanOrEqual" allowBlank="1" showErrorMessage="1" errorTitle="Mensagem de Erro" error="F não pode ser Superior a MF" sqref="J199">
      <formula1>I199</formula1>
    </dataValidation>
    <dataValidation type="whole" operator="lessThanOrEqual" allowBlank="1" showErrorMessage="1" errorTitle="Mensagem de Erro" error="F não pode ser Superior a MF" sqref="J20">
      <formula1>I20</formula1>
    </dataValidation>
    <dataValidation type="whole" operator="lessThanOrEqual" allowBlank="1" showErrorMessage="1" errorTitle="Mensagem de Erro" error="F não pode ser Superior a MF" sqref="J200">
      <formula1>I200</formula1>
    </dataValidation>
    <dataValidation type="whole" operator="lessThanOrEqual" allowBlank="1" showErrorMessage="1" errorTitle="Mensagem de Erro" error="F não pode ser Superior a MF" sqref="J201">
      <formula1>I201</formula1>
    </dataValidation>
    <dataValidation type="whole" operator="lessThanOrEqual" allowBlank="1" showErrorMessage="1" errorTitle="Mensagem de Erro" error="F não pode ser Superior a MF" sqref="J203">
      <formula1>I203</formula1>
    </dataValidation>
    <dataValidation type="whole" operator="lessThanOrEqual" allowBlank="1" showErrorMessage="1" errorTitle="Mensagem de Erro" error="F não pode ser Superior a MF" sqref="J204">
      <formula1>I204</formula1>
    </dataValidation>
    <dataValidation type="whole" operator="lessThanOrEqual" allowBlank="1" showErrorMessage="1" errorTitle="Mensagem de Erro" error="F não pode ser Superior a MF" sqref="J205">
      <formula1>I205</formula1>
    </dataValidation>
    <dataValidation type="whole" operator="lessThanOrEqual" allowBlank="1" showErrorMessage="1" errorTitle="Mensagem de Erro" error="F não pode ser Superior a MF" sqref="J207">
      <formula1>I207</formula1>
    </dataValidation>
    <dataValidation type="whole" operator="lessThanOrEqual" allowBlank="1" showErrorMessage="1" errorTitle="Mensagem de Erro" error="F não pode ser Superior a MF" sqref="J208">
      <formula1>I208</formula1>
    </dataValidation>
    <dataValidation type="whole" operator="lessThanOrEqual" allowBlank="1" showErrorMessage="1" errorTitle="Mensagem de Erro" error="F não pode ser Superior a MF" sqref="J209">
      <formula1>I209</formula1>
    </dataValidation>
    <dataValidation type="whole" operator="lessThanOrEqual" allowBlank="1" showErrorMessage="1" errorTitle="Mensagem de Erro" error="F não pode ser Superior a MF" sqref="J21">
      <formula1>I21</formula1>
    </dataValidation>
    <dataValidation type="whole" operator="lessThanOrEqual" allowBlank="1" showErrorMessage="1" errorTitle="Mensagem de Erro" error="F não pode ser Superior a MF" sqref="J22">
      <formula1>I22</formula1>
    </dataValidation>
    <dataValidation type="whole" operator="lessThanOrEqual" allowBlank="1" showErrorMessage="1" errorTitle="Mensagem de Erro" error="F não pode ser Superior a MF" sqref="J223">
      <formula1>I223</formula1>
    </dataValidation>
    <dataValidation type="whole" operator="lessThanOrEqual" allowBlank="1" showErrorMessage="1" errorTitle="Mensagem de Erro" error="F não pode ser Superior a MF" sqref="J224">
      <formula1>I224</formula1>
    </dataValidation>
    <dataValidation type="whole" operator="lessThanOrEqual" allowBlank="1" showErrorMessage="1" errorTitle="Mensagem de Erro" error="F não pode ser Superior a MF" sqref="J226">
      <formula1>I226</formula1>
    </dataValidation>
    <dataValidation type="whole" operator="lessThanOrEqual" allowBlank="1" showErrorMessage="1" errorTitle="Mensagem de Erro" error="F não pode ser Superior a MF" sqref="J227">
      <formula1>I227</formula1>
    </dataValidation>
    <dataValidation type="whole" operator="lessThanOrEqual" allowBlank="1" showErrorMessage="1" errorTitle="Mensagem de Erro" error="F não pode ser Superior a MF" sqref="J229">
      <formula1>I229</formula1>
    </dataValidation>
    <dataValidation type="whole" operator="lessThanOrEqual" allowBlank="1" showErrorMessage="1" errorTitle="Mensagem de Erro" error="F não pode ser Superior a MF" sqref="J23">
      <formula1>I23</formula1>
    </dataValidation>
    <dataValidation type="whole" operator="lessThanOrEqual" allowBlank="1" showErrorMessage="1" errorTitle="Mensagem de Erro" error="F não pode ser Superior a MF" sqref="J230">
      <formula1>I230</formula1>
    </dataValidation>
    <dataValidation type="whole" operator="lessThanOrEqual" allowBlank="1" showErrorMessage="1" errorTitle="Mensagem de Erro" error="F não pode ser Superior a MF" sqref="J24">
      <formula1>I24</formula1>
    </dataValidation>
    <dataValidation type="whole" operator="lessThanOrEqual" allowBlank="1" showErrorMessage="1" errorTitle="Mensagem de Erro" error="F não pode ser Superior a MF" sqref="J245">
      <formula1>I245</formula1>
    </dataValidation>
    <dataValidation type="whole" operator="lessThanOrEqual" allowBlank="1" showErrorMessage="1" errorTitle="Mensagem de Erro" error="F não pode ser Superior a MF" sqref="J246">
      <formula1>I246</formula1>
    </dataValidation>
    <dataValidation type="whole" operator="lessThanOrEqual" allowBlank="1" showErrorMessage="1" errorTitle="Mensagem de Erro" error="F não pode ser Superior a MF" sqref="J247">
      <formula1>I247</formula1>
    </dataValidation>
    <dataValidation type="whole" operator="lessThanOrEqual" allowBlank="1" showErrorMessage="1" errorTitle="Mensagem de Erro" error="F não pode ser Superior a MF" sqref="J249">
      <formula1>I249</formula1>
    </dataValidation>
    <dataValidation type="whole" operator="lessThanOrEqual" allowBlank="1" showErrorMessage="1" errorTitle="Mensagem de Erro" error="F não pode ser Superior a MF" sqref="J25">
      <formula1>I25</formula1>
    </dataValidation>
    <dataValidation type="whole" operator="lessThanOrEqual" allowBlank="1" showErrorMessage="1" errorTitle="Mensagem de Erro" error="F não pode ser Superior a MF" sqref="J250">
      <formula1>I250</formula1>
    </dataValidation>
    <dataValidation type="whole" operator="lessThanOrEqual" allowBlank="1" showErrorMessage="1" errorTitle="Mensagem de Erro" error="F não pode ser Superior a MF" sqref="J251">
      <formula1>I251</formula1>
    </dataValidation>
    <dataValidation type="whole" operator="lessThanOrEqual" allowBlank="1" showErrorMessage="1" errorTitle="Mensagem de Erro" error="F não pode ser Superior a MF" sqref="J253">
      <formula1>I253</formula1>
    </dataValidation>
    <dataValidation type="whole" operator="lessThanOrEqual" allowBlank="1" showErrorMessage="1" errorTitle="Mensagem de Erro" error="F não pode ser Superior a MF" sqref="J254">
      <formula1>I254</formula1>
    </dataValidation>
    <dataValidation type="whole" operator="lessThanOrEqual" allowBlank="1" showErrorMessage="1" errorTitle="Mensagem de Erro" error="F não pode ser Superior a MF" sqref="J255">
      <formula1>I255</formula1>
    </dataValidation>
    <dataValidation type="whole" operator="lessThanOrEqual" allowBlank="1" showErrorMessage="1" errorTitle="Mensagem de Erro" error="F não pode ser Superior a MF" sqref="J26">
      <formula1>I26</formula1>
    </dataValidation>
    <dataValidation type="whole" operator="lessThanOrEqual" allowBlank="1" showErrorMessage="1" errorTitle="Mensagem de Erro" error="F não pode ser Superior a MF" sqref="J267">
      <formula1>I267</formula1>
    </dataValidation>
    <dataValidation type="whole" operator="lessThanOrEqual" allowBlank="1" showErrorMessage="1" errorTitle="Mensagem de Erro" error="F não pode ser Superior a MF" sqref="J268">
      <formula1>I268</formula1>
    </dataValidation>
    <dataValidation type="whole" operator="lessThanOrEqual" allowBlank="1" showErrorMessage="1" errorTitle="Mensagem de Erro" error="F não pode ser Superior a MF" sqref="J269">
      <formula1>I269</formula1>
    </dataValidation>
    <dataValidation type="whole" operator="lessThanOrEqual" allowBlank="1" showErrorMessage="1" errorTitle="Mensagem de Erro" error="F não pode ser Superior a MF" sqref="J27">
      <formula1>I27</formula1>
    </dataValidation>
    <dataValidation type="whole" operator="lessThanOrEqual" allowBlank="1" showErrorMessage="1" errorTitle="Mensagem de Erro" error="F não pode ser Superior a MF" sqref="J270">
      <formula1>I270</formula1>
    </dataValidation>
    <dataValidation type="whole" operator="lessThanOrEqual" allowBlank="1" showErrorMessage="1" errorTitle="Mensagem de Erro" error="F não pode ser Superior a MF" sqref="J280">
      <formula1>I280</formula1>
    </dataValidation>
    <dataValidation type="whole" operator="lessThanOrEqual" allowBlank="1" showErrorMessage="1" errorTitle="Mensagem de Erro" error="F não pode ser Superior a MF" sqref="J281">
      <formula1>I281</formula1>
    </dataValidation>
    <dataValidation type="whole" operator="lessThanOrEqual" allowBlank="1" showErrorMessage="1" errorTitle="Mensagem de Erro" error="F não pode ser Superior a MF" sqref="J282">
      <formula1>I282</formula1>
    </dataValidation>
    <dataValidation type="whole" operator="lessThanOrEqual" allowBlank="1" showErrorMessage="1" errorTitle="Mensagem de Erro" error="F não pode ser Superior a MF" sqref="J283">
      <formula1>I283</formula1>
    </dataValidation>
    <dataValidation type="whole" operator="lessThanOrEqual" allowBlank="1" showErrorMessage="1" errorTitle="Mensagem de Erro" error="F não pode ser Superior a MF" sqref="J285">
      <formula1>I285</formula1>
    </dataValidation>
    <dataValidation type="whole" operator="lessThanOrEqual" allowBlank="1" showErrorMessage="1" errorTitle="Mensagem de Erro" error="F não pode ser Superior a MF" sqref="J286">
      <formula1>I286</formula1>
    </dataValidation>
    <dataValidation type="whole" operator="lessThanOrEqual" allowBlank="1" showErrorMessage="1" errorTitle="Mensagem de Erro" error="F não pode ser Superior a MF" sqref="J287">
      <formula1>I287</formula1>
    </dataValidation>
    <dataValidation type="whole" operator="lessThanOrEqual" allowBlank="1" showErrorMessage="1" errorTitle="Mensagem de Erro" error="F não pode ser Superior a MF" sqref="J288">
      <formula1>I288</formula1>
    </dataValidation>
    <dataValidation type="whole" operator="lessThanOrEqual" allowBlank="1" showErrorMessage="1" errorTitle="Mensagem de Erro" error="F não pode ser Superior a MF" sqref="J290">
      <formula1>I290</formula1>
    </dataValidation>
    <dataValidation type="whole" operator="lessThanOrEqual" allowBlank="1" showErrorMessage="1" errorTitle="Mensagem de Erro" error="F não pode ser Superior a MF" sqref="J291">
      <formula1>I291</formula1>
    </dataValidation>
    <dataValidation type="whole" operator="lessThanOrEqual" allowBlank="1" showErrorMessage="1" errorTitle="Mensagem de Erro" error="F não pode ser Superior a MF" sqref="J292">
      <formula1>I292</formula1>
    </dataValidation>
    <dataValidation type="whole" operator="lessThanOrEqual" allowBlank="1" showErrorMessage="1" errorTitle="Mensagem de Erro" error="F não pode ser Superior a MF" sqref="J293">
      <formula1>I293</formula1>
    </dataValidation>
    <dataValidation type="whole" operator="lessThanOrEqual" allowBlank="1" showErrorMessage="1" errorTitle="Mensagem de Erro" error="F não pode ser Superior a MF" sqref="J306">
      <formula1>I306</formula1>
    </dataValidation>
    <dataValidation type="whole" operator="lessThanOrEqual" allowBlank="1" showErrorMessage="1" errorTitle="Mensagem de Erro" error="F não pode ser Superior a MF" sqref="J307">
      <formula1>I307</formula1>
    </dataValidation>
    <dataValidation type="whole" operator="lessThanOrEqual" allowBlank="1" showErrorMessage="1" errorTitle="Mensagem de Erro" error="F não pode ser Superior a MF" sqref="J308">
      <formula1>I308</formula1>
    </dataValidation>
    <dataValidation type="whole" operator="lessThanOrEqual" allowBlank="1" showErrorMessage="1" errorTitle="Mensagem de Erro" error="F não pode ser Superior a MF" sqref="J309">
      <formula1>I309</formula1>
    </dataValidation>
    <dataValidation type="whole" operator="lessThanOrEqual" allowBlank="1" showErrorMessage="1" errorTitle="Mensagem de Erro" error="F não pode ser Superior a MF" sqref="J311">
      <formula1>I311</formula1>
    </dataValidation>
    <dataValidation type="whole" operator="lessThanOrEqual" allowBlank="1" showErrorMessage="1" errorTitle="Mensagem de Erro" error="F não pode ser Superior a MF" sqref="J312">
      <formula1>I312</formula1>
    </dataValidation>
    <dataValidation type="whole" operator="lessThanOrEqual" allowBlank="1" showErrorMessage="1" errorTitle="Mensagem de Erro" error="F não pode ser Superior a MF" sqref="J313">
      <formula1>I313</formula1>
    </dataValidation>
    <dataValidation type="whole" operator="lessThanOrEqual" allowBlank="1" showErrorMessage="1" errorTitle="Mensagem de Erro" error="F não pode ser Superior a MF" sqref="J314">
      <formula1>I314</formula1>
    </dataValidation>
    <dataValidation type="whole" operator="lessThanOrEqual" allowBlank="1" showErrorMessage="1" errorTitle="Mensagem de Erro" error="F não pode ser Superior a MF" sqref="J316">
      <formula1>I316</formula1>
    </dataValidation>
    <dataValidation type="whole" operator="lessThanOrEqual" allowBlank="1" showErrorMessage="1" errorTitle="Mensagem de Erro" error="F não pode ser Superior a MF" sqref="J317">
      <formula1>I317</formula1>
    </dataValidation>
    <dataValidation type="whole" operator="lessThanOrEqual" allowBlank="1" showErrorMessage="1" errorTitle="Mensagem de Erro" error="F não pode ser Superior a MF" sqref="J318">
      <formula1>I318</formula1>
    </dataValidation>
    <dataValidation type="whole" operator="lessThanOrEqual" allowBlank="1" showErrorMessage="1" errorTitle="Mensagem de Erro" error="F não pode ser Superior a MF" sqref="J319">
      <formula1>I319</formula1>
    </dataValidation>
    <dataValidation type="whole" operator="lessThanOrEqual" allowBlank="1" showErrorMessage="1" errorTitle="Mensagem de Erro" error="F não pode ser Superior a MF" sqref="J37">
      <formula1>I37</formula1>
    </dataValidation>
    <dataValidation type="whole" operator="lessThanOrEqual" allowBlank="1" showErrorMessage="1" errorTitle="Mensagem de Erro" error="F não pode ser Superior a MF" sqref="J38">
      <formula1>I38</formula1>
    </dataValidation>
    <dataValidation type="whole" operator="lessThanOrEqual" allowBlank="1" showErrorMessage="1" errorTitle="Mensagem de Erro" error="F não pode ser Superior a MF" sqref="J39">
      <formula1>I39</formula1>
    </dataValidation>
    <dataValidation type="whole" operator="lessThanOrEqual" allowBlank="1" showErrorMessage="1" errorTitle="Mensagem de Erro" error="F não pode ser Superior a MF" sqref="J46">
      <formula1>I46</formula1>
    </dataValidation>
    <dataValidation type="whole" operator="lessThanOrEqual" allowBlank="1" showErrorMessage="1" errorTitle="Mensagem de Erro" error="F não pode ser Superior a MF" sqref="J47">
      <formula1>I47</formula1>
    </dataValidation>
    <dataValidation type="whole" operator="lessThanOrEqual" allowBlank="1" showErrorMessage="1" errorTitle="Mensagem de Erro" error="F não pode ser Superior a MF" sqref="J48">
      <formula1>I48</formula1>
    </dataValidation>
    <dataValidation type="whole" operator="lessThanOrEqual" allowBlank="1" showErrorMessage="1" errorTitle="Mensagem de Erro" error="F não pode ser Superior a MF" sqref="J96">
      <formula1>I96</formula1>
    </dataValidation>
    <dataValidation type="whole" operator="lessThanOrEqual" allowBlank="1" showErrorMessage="1" errorTitle="Mensagem de Erro" error="F não pode ser Superior a MF" sqref="J97">
      <formula1>I97</formula1>
    </dataValidation>
    <dataValidation type="whole" operator="lessThanOrEqual" allowBlank="1" showErrorMessage="1" errorTitle="Mensagem de Erro" error="F não pode ser Superior a MF" sqref="J98">
      <formula1>I98</formula1>
    </dataValidation>
    <dataValidation type="whole" operator="lessThanOrEqual" allowBlank="1" showErrorMessage="1" errorTitle="Mensagem de Erro" error="F não pode ser Superior a MF" sqref="J99">
      <formula1>I99</formula1>
    </dataValidation>
    <dataValidation type="whole" operator="lessThanOrEqual" allowBlank="1" showErrorMessage="1" errorTitle="Mensagem de Erro" error="F não pode ser Superior a MF" sqref="K62">
      <formula1>J62</formula1>
    </dataValidation>
    <dataValidation type="whole" operator="lessThanOrEqual" allowBlank="1" showErrorMessage="1" errorTitle="Mensagem de Erro" error="F não pode ser Superior a MF" sqref="K63">
      <formula1>J63</formula1>
    </dataValidation>
    <dataValidation type="whole" operator="lessThanOrEqual" allowBlank="1" showErrorMessage="1" errorTitle="Mensagem de Erro" error="F não pode ser Superior a MF" sqref="K64">
      <formula1>J64</formula1>
    </dataValidation>
    <dataValidation type="whole" operator="lessThanOrEqual" allowBlank="1" showErrorMessage="1" errorTitle="Mensagem de Erro" error="F não pode ser Superior a MF" sqref="K65">
      <formula1>J65</formula1>
    </dataValidation>
    <dataValidation type="whole" operator="lessThanOrEqual" allowBlank="1" showErrorMessage="1" errorTitle="Mensagem de Erro" error="F não pode ser Superior a MF" sqref="K66">
      <formula1>J66</formula1>
    </dataValidation>
    <dataValidation type="whole" operator="lessThanOrEqual" allowBlank="1" showErrorMessage="1" errorTitle="Mensagem de Erro" error="F não pode ser Superior a MF" sqref="K67">
      <formula1>J67</formula1>
    </dataValidation>
    <dataValidation type="whole" operator="lessThanOrEqual" allowBlank="1" showErrorMessage="1" errorTitle="Mensagem de Erro" error="F não pode ser Superior a MF" sqref="K69">
      <formula1>J69</formula1>
    </dataValidation>
    <dataValidation type="whole" operator="lessThanOrEqual" allowBlank="1" showErrorMessage="1" errorTitle="Mensagem de Erro" error="F não pode ser Superior a MF" sqref="K70">
      <formula1>J70</formula1>
    </dataValidation>
    <dataValidation type="whole" operator="lessThanOrEqual" allowBlank="1" showErrorMessage="1" errorTitle="Mensagem de Erro" error="F não pode ser Superior a MF" sqref="K71">
      <formula1>J71</formula1>
    </dataValidation>
    <dataValidation type="whole" operator="lessThanOrEqual" allowBlank="1" showErrorMessage="1" errorTitle="Mensagem de Erro" error="F não pode ser Superior a MF" sqref="K72">
      <formula1>J72</formula1>
    </dataValidation>
    <dataValidation type="whole" operator="lessThanOrEqual" allowBlank="1" showErrorMessage="1" errorTitle="Mensagem de Erro" error="F não pode ser Superior a MF" sqref="K73">
      <formula1>J73</formula1>
    </dataValidation>
    <dataValidation type="whole" operator="lessThanOrEqual" allowBlank="1" showErrorMessage="1" errorTitle="Mensagem de Erro" error="F não pode ser Superior a MF" sqref="K74">
      <formula1>J74</formula1>
    </dataValidation>
    <dataValidation type="whole" operator="lessThanOrEqual" allowBlank="1" showErrorMessage="1" errorTitle="Mensagem de Erro" error="F não pode ser Superior a MF" sqref="K76">
      <formula1>J76</formula1>
    </dataValidation>
    <dataValidation type="whole" operator="lessThanOrEqual" allowBlank="1" showErrorMessage="1" errorTitle="Mensagem de Erro" error="F não pode ser Superior a MF" sqref="K77">
      <formula1>J77</formula1>
    </dataValidation>
    <dataValidation type="whole" operator="lessThanOrEqual" allowBlank="1" showErrorMessage="1" errorTitle="Mensagem de Erro" error="F não pode ser Superior a MF" sqref="K78">
      <formula1>J78</formula1>
    </dataValidation>
    <dataValidation type="whole" operator="lessThanOrEqual" allowBlank="1" showErrorMessage="1" errorTitle="Mensagem de Erro" error="F não pode ser Superior a MF" sqref="K79">
      <formula1>J79</formula1>
    </dataValidation>
    <dataValidation type="whole" operator="lessThanOrEqual" allowBlank="1" showErrorMessage="1" errorTitle="Mensagem de Erro" error="F não pode ser Superior a MF" sqref="K80">
      <formula1>J80</formula1>
    </dataValidation>
    <dataValidation type="whole" operator="lessThanOrEqual" allowBlank="1" showErrorMessage="1" errorTitle="Mensagem de Erro" error="F não pode ser Superior a MF" sqref="K81">
      <formula1>J81</formula1>
    </dataValidation>
    <dataValidation type="whole" operator="lessThanOrEqual" allowBlank="1" showErrorMessage="1" errorTitle="Mensagem de Erro" error="F não pode ser Superior a MF" sqref="L10">
      <formula1>K10</formula1>
    </dataValidation>
    <dataValidation type="whole" operator="lessThanOrEqual" allowBlank="1" showErrorMessage="1" errorTitle="Mensagem de Erro" error="F não pode ser Superior a MF" sqref="L100">
      <formula1>K100</formula1>
    </dataValidation>
    <dataValidation type="whole" operator="lessThanOrEqual" allowBlank="1" showErrorMessage="1" errorTitle="Mensagem de Erro" error="F não pode ser Superior a MF" sqref="L101">
      <formula1>K101</formula1>
    </dataValidation>
    <dataValidation type="whole" operator="lessThanOrEqual" allowBlank="1" showErrorMessage="1" errorTitle="Mensagem de Erro" error="F não pode ser Superior a MF" sqref="L11">
      <formula1>K11</formula1>
    </dataValidation>
    <dataValidation type="whole" operator="lessThanOrEqual" allowBlank="1" showErrorMessage="1" errorTitle="Mensagem de Erro" error="F não pode ser Superior a MF" sqref="L113">
      <formula1>K113</formula1>
    </dataValidation>
    <dataValidation type="whole" operator="lessThanOrEqual" allowBlank="1" showErrorMessage="1" errorTitle="Mensagem de Erro" error="F não pode ser Superior a MF" sqref="L114">
      <formula1>K114</formula1>
    </dataValidation>
    <dataValidation type="whole" operator="lessThanOrEqual" allowBlank="1" showErrorMessage="1" errorTitle="Mensagem de Erro" error="F não pode ser Superior a MF" sqref="L115">
      <formula1>K115</formula1>
    </dataValidation>
    <dataValidation type="whole" operator="lessThanOrEqual" allowBlank="1" showErrorMessage="1" errorTitle="Mensagem de Erro" error="F não pode ser Superior a MF" sqref="L117">
      <formula1>K117</formula1>
    </dataValidation>
    <dataValidation type="whole" operator="lessThanOrEqual" allowBlank="1" showErrorMessage="1" errorTitle="Mensagem de Erro" error="F não pode ser Superior a MF" sqref="L118">
      <formula1>K118</formula1>
    </dataValidation>
    <dataValidation type="whole" operator="lessThanOrEqual" allowBlank="1" showErrorMessage="1" errorTitle="Mensagem de Erro" error="F não pode ser Superior a MF" sqref="L119">
      <formula1>K119</formula1>
    </dataValidation>
    <dataValidation type="whole" operator="lessThanOrEqual" allowBlank="1" showErrorMessage="1" errorTitle="Mensagem de Erro" error="F não pode ser Superior a MF" sqref="L12">
      <formula1>K12</formula1>
    </dataValidation>
    <dataValidation type="whole" operator="lessThanOrEqual" allowBlank="1" showErrorMessage="1" errorTitle="Mensagem de Erro" error="F não pode ser Superior a MF" sqref="L121">
      <formula1>K121</formula1>
    </dataValidation>
    <dataValidation type="whole" operator="lessThanOrEqual" allowBlank="1" showErrorMessage="1" errorTitle="Mensagem de Erro" error="F não pode ser Superior a MF" sqref="L122">
      <formula1>K122</formula1>
    </dataValidation>
    <dataValidation type="whole" operator="lessThanOrEqual" allowBlank="1" showErrorMessage="1" errorTitle="Mensagem de Erro" error="F não pode ser Superior a MF" sqref="L123">
      <formula1>K123</formula1>
    </dataValidation>
    <dataValidation type="whole" operator="lessThanOrEqual" allowBlank="1" showErrorMessage="1" errorTitle="Mensagem de Erro" error="F não pode ser Superior a MF" sqref="L13">
      <formula1>K13</formula1>
    </dataValidation>
    <dataValidation type="whole" operator="lessThanOrEqual" allowBlank="1" showErrorMessage="1" errorTitle="Mensagem de Erro" error="F não pode ser Superior a MF" sqref="L137">
      <formula1>K137</formula1>
    </dataValidation>
    <dataValidation type="whole" operator="lessThanOrEqual" allowBlank="1" showErrorMessage="1" errorTitle="Mensagem de Erro" error="F não pode ser Superior a MF" sqref="L138">
      <formula1>K138</formula1>
    </dataValidation>
    <dataValidation type="whole" operator="lessThanOrEqual" allowBlank="1" showErrorMessage="1" errorTitle="Mensagem de Erro" error="F não pode ser Superior a MF" sqref="L139">
      <formula1>K139</formula1>
    </dataValidation>
    <dataValidation type="whole" operator="lessThanOrEqual" allowBlank="1" showErrorMessage="1" errorTitle="Mensagem de Erro" error="F não pode ser Superior a MF" sqref="L14">
      <formula1>K14</formula1>
    </dataValidation>
    <dataValidation type="whole" operator="lessThanOrEqual" allowBlank="1" showErrorMessage="1" errorTitle="Mensagem de Erro" error="F não pode ser Superior a MF" sqref="L141">
      <formula1>K141</formula1>
    </dataValidation>
    <dataValidation type="whole" operator="lessThanOrEqual" allowBlank="1" showErrorMessage="1" errorTitle="Mensagem de Erro" error="F não pode ser Superior a MF" sqref="L142">
      <formula1>K142</formula1>
    </dataValidation>
    <dataValidation type="whole" operator="lessThanOrEqual" allowBlank="1" showErrorMessage="1" errorTitle="Mensagem de Erro" error="F não pode ser Superior a MF" sqref="L143">
      <formula1>K143</formula1>
    </dataValidation>
    <dataValidation type="whole" operator="lessThanOrEqual" allowBlank="1" showErrorMessage="1" errorTitle="Mensagem de Erro" error="F não pode ser Superior a MF" sqref="L145">
      <formula1>K145</formula1>
    </dataValidation>
    <dataValidation type="whole" operator="lessThanOrEqual" allowBlank="1" showErrorMessage="1" errorTitle="Mensagem de Erro" error="F não pode ser Superior a MF" sqref="L146">
      <formula1>K146</formula1>
    </dataValidation>
    <dataValidation type="whole" operator="lessThanOrEqual" allowBlank="1" showErrorMessage="1" errorTitle="Mensagem de Erro" error="F não pode ser Superior a MF" sqref="L147">
      <formula1>K147</formula1>
    </dataValidation>
    <dataValidation type="whole" operator="lessThanOrEqual" allowBlank="1" showErrorMessage="1" errorTitle="Mensagem de Erro" error="F não pode ser Superior a MF" sqref="L15">
      <formula1>K15</formula1>
    </dataValidation>
    <dataValidation type="whole" operator="lessThanOrEqual" allowBlank="1" showErrorMessage="1" errorTitle="Mensagem de Erro" error="F não pode ser Superior a MF" sqref="L16">
      <formula1>K16</formula1>
    </dataValidation>
    <dataValidation type="whole" operator="lessThanOrEqual" allowBlank="1" showErrorMessage="1" errorTitle="Mensagem de Erro" error="F não pode ser Superior a MF" sqref="L163">
      <formula1>K163</formula1>
    </dataValidation>
    <dataValidation type="whole" operator="lessThanOrEqual" allowBlank="1" showErrorMessage="1" errorTitle="Mensagem de Erro" error="F não pode ser Superior a MF" sqref="L164">
      <formula1>K164</formula1>
    </dataValidation>
    <dataValidation type="whole" operator="lessThanOrEqual" allowBlank="1" showErrorMessage="1" errorTitle="Mensagem de Erro" error="F não pode ser Superior a MF" sqref="L165">
      <formula1>K165</formula1>
    </dataValidation>
    <dataValidation type="whole" operator="lessThanOrEqual" allowBlank="1" showErrorMessage="1" errorTitle="Mensagem de Erro" error="F não pode ser Superior a MF" sqref="L167">
      <formula1>K167</formula1>
    </dataValidation>
    <dataValidation type="whole" operator="lessThanOrEqual" allowBlank="1" showErrorMessage="1" errorTitle="Mensagem de Erro" error="F não pode ser Superior a MF" sqref="L168">
      <formula1>K168</formula1>
    </dataValidation>
    <dataValidation type="whole" operator="lessThanOrEqual" allowBlank="1" showErrorMessage="1" errorTitle="Mensagem de Erro" error="F não pode ser Superior a MF" sqref="L169">
      <formula1>K169</formula1>
    </dataValidation>
    <dataValidation type="whole" operator="lessThanOrEqual" allowBlank="1" showErrorMessage="1" errorTitle="Mensagem de Erro" error="F não pode ser Superior a MF" sqref="L17">
      <formula1>K17</formula1>
    </dataValidation>
    <dataValidation type="whole" operator="lessThanOrEqual" allowBlank="1" showErrorMessage="1" errorTitle="Mensagem de Erro" error="F não pode ser Superior a MF" sqref="L171">
      <formula1>K171</formula1>
    </dataValidation>
    <dataValidation type="whole" operator="lessThanOrEqual" allowBlank="1" showErrorMessage="1" errorTitle="Mensagem de Erro" error="F não pode ser Superior a MF" sqref="L172">
      <formula1>K172</formula1>
    </dataValidation>
    <dataValidation type="whole" operator="lessThanOrEqual" allowBlank="1" showErrorMessage="1" errorTitle="Mensagem de Erro" error="F não pode ser Superior a MF" sqref="L173">
      <formula1>K173</formula1>
    </dataValidation>
    <dataValidation type="whole" operator="lessThanOrEqual" allowBlank="1" showErrorMessage="1" errorTitle="Mensagem de Erro" error="F não pode ser Superior a MF" sqref="L18">
      <formula1>K18</formula1>
    </dataValidation>
    <dataValidation type="whole" operator="lessThanOrEqual" allowBlank="1" showErrorMessage="1" errorTitle="Mensagem de Erro" error="F não pode ser Superior a MF" sqref="L185">
      <formula1>K185</formula1>
    </dataValidation>
    <dataValidation type="whole" operator="lessThanOrEqual" allowBlank="1" showErrorMessage="1" errorTitle="Mensagem de Erro" error="F não pode ser Superior a MF" sqref="L186">
      <formula1>K186</formula1>
    </dataValidation>
    <dataValidation type="whole" operator="lessThanOrEqual" allowBlank="1" showErrorMessage="1" errorTitle="Mensagem de Erro" error="F não pode ser Superior a MF" sqref="L187">
      <formula1>K187</formula1>
    </dataValidation>
    <dataValidation type="whole" operator="lessThanOrEqual" allowBlank="1" showErrorMessage="1" errorTitle="Mensagem de Erro" error="F não pode ser Superior a MF" sqref="L19">
      <formula1>K19</formula1>
    </dataValidation>
    <dataValidation type="whole" operator="lessThanOrEqual" allowBlank="1" showErrorMessage="1" errorTitle="Mensagem de Erro" error="F não pode ser Superior a MF" sqref="L199">
      <formula1>K199</formula1>
    </dataValidation>
    <dataValidation type="whole" operator="lessThanOrEqual" allowBlank="1" showErrorMessage="1" errorTitle="Mensagem de Erro" error="F não pode ser Superior a MF" sqref="L20">
      <formula1>K20</formula1>
    </dataValidation>
    <dataValidation type="whole" operator="lessThanOrEqual" allowBlank="1" showErrorMessage="1" errorTitle="Mensagem de Erro" error="F não pode ser Superior a MF" sqref="L200">
      <formula1>K200</formula1>
    </dataValidation>
    <dataValidation type="whole" operator="lessThanOrEqual" allowBlank="1" showErrorMessage="1" errorTitle="Mensagem de Erro" error="F não pode ser Superior a MF" sqref="L201">
      <formula1>K201</formula1>
    </dataValidation>
    <dataValidation type="whole" operator="lessThanOrEqual" allowBlank="1" showErrorMessage="1" errorTitle="Mensagem de Erro" error="F não pode ser Superior a MF" sqref="L203">
      <formula1>K203</formula1>
    </dataValidation>
    <dataValidation type="whole" operator="lessThanOrEqual" allowBlank="1" showErrorMessage="1" errorTitle="Mensagem de Erro" error="F não pode ser Superior a MF" sqref="L204">
      <formula1>K204</formula1>
    </dataValidation>
    <dataValidation type="whole" operator="lessThanOrEqual" allowBlank="1" showErrorMessage="1" errorTitle="Mensagem de Erro" error="F não pode ser Superior a MF" sqref="L205">
      <formula1>K205</formula1>
    </dataValidation>
    <dataValidation type="whole" operator="lessThanOrEqual" allowBlank="1" showErrorMessage="1" errorTitle="Mensagem de Erro" error="F não pode ser Superior a MF" sqref="L207">
      <formula1>K207</formula1>
    </dataValidation>
    <dataValidation type="whole" operator="lessThanOrEqual" allowBlank="1" showErrorMessage="1" errorTitle="Mensagem de Erro" error="F não pode ser Superior a MF" sqref="L208">
      <formula1>K208</formula1>
    </dataValidation>
    <dataValidation type="whole" operator="lessThanOrEqual" allowBlank="1" showErrorMessage="1" errorTitle="Mensagem de Erro" error="F não pode ser Superior a MF" sqref="L209">
      <formula1>K209</formula1>
    </dataValidation>
    <dataValidation type="whole" operator="lessThanOrEqual" allowBlank="1" showErrorMessage="1" errorTitle="Mensagem de Erro" error="F não pode ser Superior a MF" sqref="L21">
      <formula1>K21</formula1>
    </dataValidation>
    <dataValidation type="whole" operator="lessThanOrEqual" allowBlank="1" showErrorMessage="1" errorTitle="Mensagem de Erro" error="F não pode ser Superior a MF" sqref="L22">
      <formula1>K22</formula1>
    </dataValidation>
    <dataValidation type="whole" operator="lessThanOrEqual" allowBlank="1" showErrorMessage="1" errorTitle="Mensagem de Erro" error="F não pode ser Superior a MF" sqref="L223">
      <formula1>K223</formula1>
    </dataValidation>
    <dataValidation type="whole" operator="lessThanOrEqual" allowBlank="1" showErrorMessage="1" errorTitle="Mensagem de Erro" error="F não pode ser Superior a MF" sqref="L224">
      <formula1>K224</formula1>
    </dataValidation>
    <dataValidation type="whole" operator="lessThanOrEqual" allowBlank="1" showErrorMessage="1" errorTitle="Mensagem de Erro" error="F não pode ser Superior a MF" sqref="L226">
      <formula1>K226</formula1>
    </dataValidation>
    <dataValidation type="whole" operator="lessThanOrEqual" allowBlank="1" showErrorMessage="1" errorTitle="Mensagem de Erro" error="F não pode ser Superior a MF" sqref="L227">
      <formula1>K227</formula1>
    </dataValidation>
    <dataValidation type="whole" operator="lessThanOrEqual" allowBlank="1" showErrorMessage="1" errorTitle="Mensagem de Erro" error="F não pode ser Superior a MF" sqref="L229">
      <formula1>K229</formula1>
    </dataValidation>
    <dataValidation type="whole" operator="lessThanOrEqual" allowBlank="1" showErrorMessage="1" errorTitle="Mensagem de Erro" error="F não pode ser Superior a MF" sqref="L23">
      <formula1>K23</formula1>
    </dataValidation>
    <dataValidation type="whole" operator="lessThanOrEqual" allowBlank="1" showErrorMessage="1" errorTitle="Mensagem de Erro" error="F não pode ser Superior a MF" sqref="L230">
      <formula1>K230</formula1>
    </dataValidation>
    <dataValidation type="whole" operator="lessThanOrEqual" allowBlank="1" showErrorMessage="1" errorTitle="Mensagem de Erro" error="F não pode ser Superior a MF" sqref="L24">
      <formula1>K24</formula1>
    </dataValidation>
    <dataValidation type="whole" operator="lessThanOrEqual" allowBlank="1" showErrorMessage="1" errorTitle="Mensagem de Erro" error="F não pode ser Superior a MF" sqref="L245">
      <formula1>K245</formula1>
    </dataValidation>
    <dataValidation type="whole" operator="lessThanOrEqual" allowBlank="1" showErrorMessage="1" errorTitle="Mensagem de Erro" error="F não pode ser Superior a MF" sqref="L246">
      <formula1>K246</formula1>
    </dataValidation>
    <dataValidation type="whole" operator="lessThanOrEqual" allowBlank="1" showErrorMessage="1" errorTitle="Mensagem de Erro" error="F não pode ser Superior a MF" sqref="L247">
      <formula1>K247</formula1>
    </dataValidation>
    <dataValidation type="whole" operator="lessThanOrEqual" allowBlank="1" showErrorMessage="1" errorTitle="Mensagem de Erro" error="F não pode ser Superior a MF" sqref="L249">
      <formula1>K249</formula1>
    </dataValidation>
    <dataValidation type="whole" operator="lessThanOrEqual" allowBlank="1" showErrorMessage="1" errorTitle="Mensagem de Erro" error="F não pode ser Superior a MF" sqref="L25">
      <formula1>K25</formula1>
    </dataValidation>
    <dataValidation type="whole" operator="lessThanOrEqual" allowBlank="1" showErrorMessage="1" errorTitle="Mensagem de Erro" error="F não pode ser Superior a MF" sqref="L250">
      <formula1>K250</formula1>
    </dataValidation>
    <dataValidation type="whole" operator="lessThanOrEqual" allowBlank="1" showErrorMessage="1" errorTitle="Mensagem de Erro" error="F não pode ser Superior a MF" sqref="L251">
      <formula1>K251</formula1>
    </dataValidation>
    <dataValidation type="whole" operator="lessThanOrEqual" allowBlank="1" showErrorMessage="1" errorTitle="Mensagem de Erro" error="F não pode ser Superior a MF" sqref="L253">
      <formula1>K253</formula1>
    </dataValidation>
    <dataValidation type="whole" operator="lessThanOrEqual" allowBlank="1" showErrorMessage="1" errorTitle="Mensagem de Erro" error="F não pode ser Superior a MF" sqref="L254">
      <formula1>K254</formula1>
    </dataValidation>
    <dataValidation type="whole" operator="lessThanOrEqual" allowBlank="1" showErrorMessage="1" errorTitle="Mensagem de Erro" error="F não pode ser Superior a MF" sqref="L255">
      <formula1>K255</formula1>
    </dataValidation>
    <dataValidation type="whole" operator="lessThanOrEqual" allowBlank="1" showErrorMessage="1" errorTitle="Mensagem de Erro" error="F não pode ser Superior a MF" sqref="L26">
      <formula1>K26</formula1>
    </dataValidation>
    <dataValidation type="whole" operator="lessThanOrEqual" allowBlank="1" showErrorMessage="1" errorTitle="Mensagem de Erro" error="F não pode ser Superior a MF" sqref="L267">
      <formula1>K267</formula1>
    </dataValidation>
    <dataValidation type="whole" operator="lessThanOrEqual" allowBlank="1" showErrorMessage="1" errorTitle="Mensagem de Erro" error="F não pode ser Superior a MF" sqref="L268">
      <formula1>K268</formula1>
    </dataValidation>
    <dataValidation type="whole" operator="lessThanOrEqual" allowBlank="1" showErrorMessage="1" errorTitle="Mensagem de Erro" error="F não pode ser Superior a MF" sqref="L269">
      <formula1>K269</formula1>
    </dataValidation>
    <dataValidation type="whole" operator="lessThanOrEqual" allowBlank="1" showErrorMessage="1" errorTitle="Mensagem de Erro" error="F não pode ser Superior a MF" sqref="L27">
      <formula1>K27</formula1>
    </dataValidation>
    <dataValidation type="whole" operator="lessThanOrEqual" allowBlank="1" showErrorMessage="1" errorTitle="Mensagem de Erro" error="F não pode ser Superior a MF" sqref="L270">
      <formula1>K270</formula1>
    </dataValidation>
    <dataValidation type="whole" operator="lessThanOrEqual" allowBlank="1" showErrorMessage="1" errorTitle="Mensagem de Erro" error="F não pode ser Superior a MF" sqref="L280">
      <formula1>K280</formula1>
    </dataValidation>
    <dataValidation type="whole" operator="lessThanOrEqual" allowBlank="1" showErrorMessage="1" errorTitle="Mensagem de Erro" error="F não pode ser Superior a MF" sqref="L281">
      <formula1>K281</formula1>
    </dataValidation>
    <dataValidation type="whole" operator="lessThanOrEqual" allowBlank="1" showErrorMessage="1" errorTitle="Mensagem de Erro" error="F não pode ser Superior a MF" sqref="L282">
      <formula1>K282</formula1>
    </dataValidation>
    <dataValidation type="whole" operator="lessThanOrEqual" allowBlank="1" showErrorMessage="1" errorTitle="Mensagem de Erro" error="F não pode ser Superior a MF" sqref="L283">
      <formula1>K283</formula1>
    </dataValidation>
    <dataValidation type="whole" operator="lessThanOrEqual" allowBlank="1" showErrorMessage="1" errorTitle="Mensagem de Erro" error="F não pode ser Superior a MF" sqref="L285">
      <formula1>K285</formula1>
    </dataValidation>
    <dataValidation type="whole" operator="lessThanOrEqual" allowBlank="1" showErrorMessage="1" errorTitle="Mensagem de Erro" error="F não pode ser Superior a MF" sqref="L286">
      <formula1>K286</formula1>
    </dataValidation>
    <dataValidation type="whole" operator="lessThanOrEqual" allowBlank="1" showErrorMessage="1" errorTitle="Mensagem de Erro" error="F não pode ser Superior a MF" sqref="L287">
      <formula1>K287</formula1>
    </dataValidation>
    <dataValidation type="whole" operator="lessThanOrEqual" allowBlank="1" showErrorMessage="1" errorTitle="Mensagem de Erro" error="F não pode ser Superior a MF" sqref="L288">
      <formula1>K288</formula1>
    </dataValidation>
    <dataValidation type="whole" operator="lessThanOrEqual" allowBlank="1" showErrorMessage="1" errorTitle="Mensagem de Erro" error="F não pode ser Superior a MF" sqref="L290">
      <formula1>K290</formula1>
    </dataValidation>
    <dataValidation type="whole" operator="lessThanOrEqual" allowBlank="1" showErrorMessage="1" errorTitle="Mensagem de Erro" error="F não pode ser Superior a MF" sqref="L291">
      <formula1>K291</formula1>
    </dataValidation>
    <dataValidation type="whole" operator="lessThanOrEqual" allowBlank="1" showErrorMessage="1" errorTitle="Mensagem de Erro" error="F não pode ser Superior a MF" sqref="L292">
      <formula1>K292</formula1>
    </dataValidation>
    <dataValidation type="whole" operator="lessThanOrEqual" allowBlank="1" showErrorMessage="1" errorTitle="Mensagem de Erro" error="F não pode ser Superior a MF" sqref="L293">
      <formula1>K293</formula1>
    </dataValidation>
    <dataValidation type="whole" operator="lessThanOrEqual" allowBlank="1" showErrorMessage="1" errorTitle="Mensagem de Erro" error="F não pode ser Superior a MF" sqref="L306">
      <formula1>K306</formula1>
    </dataValidation>
    <dataValidation type="whole" operator="lessThanOrEqual" allowBlank="1" showErrorMessage="1" errorTitle="Mensagem de Erro" error="F não pode ser Superior a MF" sqref="L307">
      <formula1>K307</formula1>
    </dataValidation>
    <dataValidation type="whole" operator="lessThanOrEqual" allowBlank="1" showErrorMessage="1" errorTitle="Mensagem de Erro" error="F não pode ser Superior a MF" sqref="L308">
      <formula1>K308</formula1>
    </dataValidation>
    <dataValidation type="whole" operator="lessThanOrEqual" allowBlank="1" showErrorMessage="1" errorTitle="Mensagem de Erro" error="F não pode ser Superior a MF" sqref="L309">
      <formula1>K309</formula1>
    </dataValidation>
    <dataValidation type="whole" operator="lessThanOrEqual" allowBlank="1" showErrorMessage="1" errorTitle="Mensagem de Erro" error="F não pode ser Superior a MF" sqref="L311">
      <formula1>K311</formula1>
    </dataValidation>
    <dataValidation type="whole" operator="lessThanOrEqual" allowBlank="1" showErrorMessage="1" errorTitle="Mensagem de Erro" error="F não pode ser Superior a MF" sqref="L312">
      <formula1>K312</formula1>
    </dataValidation>
    <dataValidation type="whole" operator="lessThanOrEqual" allowBlank="1" showErrorMessage="1" errorTitle="Mensagem de Erro" error="F não pode ser Superior a MF" sqref="L313">
      <formula1>K313</formula1>
    </dataValidation>
    <dataValidation type="whole" operator="lessThanOrEqual" allowBlank="1" showErrorMessage="1" errorTitle="Mensagem de Erro" error="F não pode ser Superior a MF" sqref="L314">
      <formula1>K314</formula1>
    </dataValidation>
    <dataValidation type="whole" operator="lessThanOrEqual" allowBlank="1" showErrorMessage="1" errorTitle="Mensagem de Erro" error="F não pode ser Superior a MF" sqref="L316">
      <formula1>K316</formula1>
    </dataValidation>
    <dataValidation type="whole" operator="lessThanOrEqual" allowBlank="1" showErrorMessage="1" errorTitle="Mensagem de Erro" error="F não pode ser Superior a MF" sqref="L317">
      <formula1>K317</formula1>
    </dataValidation>
    <dataValidation type="whole" operator="lessThanOrEqual" allowBlank="1" showErrorMessage="1" errorTitle="Mensagem de Erro" error="F não pode ser Superior a MF" sqref="L318">
      <formula1>K318</formula1>
    </dataValidation>
    <dataValidation type="whole" operator="lessThanOrEqual" allowBlank="1" showErrorMessage="1" errorTitle="Mensagem de Erro" error="F não pode ser Superior a MF" sqref="L319">
      <formula1>K319</formula1>
    </dataValidation>
    <dataValidation type="whole" operator="lessThanOrEqual" allowBlank="1" showErrorMessage="1" errorTitle="Mensagem de Erro" error="F não pode ser Superior a MF" sqref="L37">
      <formula1>K37</formula1>
    </dataValidation>
    <dataValidation type="whole" operator="lessThanOrEqual" allowBlank="1" showErrorMessage="1" errorTitle="Mensagem de Erro" error="F não pode ser Superior a MF" sqref="L38">
      <formula1>K38</formula1>
    </dataValidation>
    <dataValidation type="whole" operator="lessThanOrEqual" allowBlank="1" showErrorMessage="1" errorTitle="Mensagem de Erro" error="F não pode ser Superior a MF" sqref="L39">
      <formula1>K39</formula1>
    </dataValidation>
    <dataValidation type="whole" operator="lessThanOrEqual" allowBlank="1" showErrorMessage="1" errorTitle="Mensagem de Erro" error="F não pode ser Superior a MF" sqref="L46">
      <formula1>K46</formula1>
    </dataValidation>
    <dataValidation type="whole" operator="lessThanOrEqual" allowBlank="1" showErrorMessage="1" errorTitle="Mensagem de Erro" error="F não pode ser Superior a MF" sqref="L47">
      <formula1>K47</formula1>
    </dataValidation>
    <dataValidation type="whole" operator="lessThanOrEqual" allowBlank="1" showErrorMessage="1" errorTitle="Mensagem de Erro" error="F não pode ser Superior a MF" sqref="L48">
      <formula1>K48</formula1>
    </dataValidation>
    <dataValidation type="whole" operator="lessThanOrEqual" allowBlank="1" showErrorMessage="1" errorTitle="Mensagem de Erro" error="F não pode ser Superior a MF" sqref="L96">
      <formula1>K96</formula1>
    </dataValidation>
    <dataValidation type="whole" operator="lessThanOrEqual" allowBlank="1" showErrorMessage="1" errorTitle="Mensagem de Erro" error="F não pode ser Superior a MF" sqref="L97">
      <formula1>K97</formula1>
    </dataValidation>
    <dataValidation type="whole" operator="lessThanOrEqual" allowBlank="1" showErrorMessage="1" errorTitle="Mensagem de Erro" error="F não pode ser Superior a MF" sqref="L98">
      <formula1>K98</formula1>
    </dataValidation>
    <dataValidation type="whole" operator="lessThanOrEqual" allowBlank="1" showErrorMessage="1" errorTitle="Mensagem de Erro" error="F não pode ser Superior a MF" sqref="L99">
      <formula1>K99</formula1>
    </dataValidation>
    <dataValidation type="whole" operator="lessThanOrEqual" allowBlank="1" showErrorMessage="1" errorTitle="Mensagem de Erro" error="F não pode ser Superior a MF" sqref="M62">
      <formula1>L62</formula1>
    </dataValidation>
    <dataValidation type="whole" operator="lessThanOrEqual" allowBlank="1" showErrorMessage="1" errorTitle="Mensagem de Erro" error="F não pode ser Superior a MF" sqref="M63">
      <formula1>L63</formula1>
    </dataValidation>
    <dataValidation type="whole" operator="lessThanOrEqual" allowBlank="1" showErrorMessage="1" errorTitle="Mensagem de Erro" error="F não pode ser Superior a MF" sqref="M64">
      <formula1>L64</formula1>
    </dataValidation>
    <dataValidation type="whole" operator="lessThanOrEqual" allowBlank="1" showErrorMessage="1" errorTitle="Mensagem de Erro" error="F não pode ser Superior a MF" sqref="M65">
      <formula1>L65</formula1>
    </dataValidation>
    <dataValidation type="whole" operator="lessThanOrEqual" allowBlank="1" showErrorMessage="1" errorTitle="Mensagem de Erro" error="F não pode ser Superior a MF" sqref="M66">
      <formula1>L66</formula1>
    </dataValidation>
    <dataValidation type="whole" operator="lessThanOrEqual" allowBlank="1" showErrorMessage="1" errorTitle="Mensagem de Erro" error="F não pode ser Superior a MF" sqref="M67">
      <formula1>L67</formula1>
    </dataValidation>
    <dataValidation type="whole" operator="lessThanOrEqual" allowBlank="1" showErrorMessage="1" errorTitle="Mensagem de Erro" error="F não pode ser Superior a MF" sqref="M69">
      <formula1>L69</formula1>
    </dataValidation>
    <dataValidation type="whole" operator="lessThanOrEqual" allowBlank="1" showErrorMessage="1" errorTitle="Mensagem de Erro" error="F não pode ser Superior a MF" sqref="M70">
      <formula1>L70</formula1>
    </dataValidation>
    <dataValidation type="whole" operator="lessThanOrEqual" allowBlank="1" showErrorMessage="1" errorTitle="Mensagem de Erro" error="F não pode ser Superior a MF" sqref="M71">
      <formula1>L71</formula1>
    </dataValidation>
    <dataValidation type="whole" operator="lessThanOrEqual" allowBlank="1" showErrorMessage="1" errorTitle="Mensagem de Erro" error="F não pode ser Superior a MF" sqref="M72">
      <formula1>L72</formula1>
    </dataValidation>
    <dataValidation type="whole" operator="lessThanOrEqual" allowBlank="1" showErrorMessage="1" errorTitle="Mensagem de Erro" error="F não pode ser Superior a MF" sqref="M73">
      <formula1>L73</formula1>
    </dataValidation>
    <dataValidation type="whole" operator="lessThanOrEqual" allowBlank="1" showErrorMessage="1" errorTitle="Mensagem de Erro" error="F não pode ser Superior a MF" sqref="M74">
      <formula1>L74</formula1>
    </dataValidation>
    <dataValidation type="whole" operator="lessThanOrEqual" allowBlank="1" showErrorMessage="1" errorTitle="Mensagem de Erro" error="F não pode ser Superior a MF" sqref="M76">
      <formula1>L76</formula1>
    </dataValidation>
    <dataValidation type="whole" operator="lessThanOrEqual" allowBlank="1" showErrorMessage="1" errorTitle="Mensagem de Erro" error="F não pode ser Superior a MF" sqref="M77">
      <formula1>L77</formula1>
    </dataValidation>
    <dataValidation type="whole" operator="lessThanOrEqual" allowBlank="1" showErrorMessage="1" errorTitle="Mensagem de Erro" error="F não pode ser Superior a MF" sqref="M78">
      <formula1>L78</formula1>
    </dataValidation>
    <dataValidation type="whole" operator="lessThanOrEqual" allowBlank="1" showErrorMessage="1" errorTitle="Mensagem de Erro" error="F não pode ser Superior a MF" sqref="M79">
      <formula1>L79</formula1>
    </dataValidation>
    <dataValidation type="whole" operator="lessThanOrEqual" allowBlank="1" showErrorMessage="1" errorTitle="Mensagem de Erro" error="F não pode ser Superior a MF" sqref="M80">
      <formula1>L80</formula1>
    </dataValidation>
    <dataValidation type="whole" operator="lessThanOrEqual" allowBlank="1" showErrorMessage="1" errorTitle="Mensagem de Erro" error="F não pode ser Superior a MF" sqref="M81">
      <formula1>L81</formula1>
    </dataValidation>
    <dataValidation type="whole" operator="lessThanOrEqual" allowBlank="1" showErrorMessage="1" errorTitle="Mensagem de Erro" error="F não pode ser Superior a MF" sqref="N10">
      <formula1>M10</formula1>
    </dataValidation>
    <dataValidation type="whole" operator="lessThanOrEqual" allowBlank="1" showErrorMessage="1" errorTitle="Mensagem de Erro" error="F não pode ser Superior a MF" sqref="N100">
      <formula1>M100</formula1>
    </dataValidation>
    <dataValidation type="whole" operator="lessThanOrEqual" allowBlank="1" showErrorMessage="1" errorTitle="Mensagem de Erro" error="F não pode ser Superior a MF" sqref="N101">
      <formula1>M101</formula1>
    </dataValidation>
    <dataValidation type="whole" operator="lessThanOrEqual" allowBlank="1" showErrorMessage="1" errorTitle="Mensagem de Erro" error="F não pode ser Superior a MF" sqref="N11">
      <formula1>M11</formula1>
    </dataValidation>
    <dataValidation type="whole" operator="lessThanOrEqual" allowBlank="1" showErrorMessage="1" errorTitle="Mensagem de Erro" error="F não pode ser Superior a MF" sqref="N113">
      <formula1>M113</formula1>
    </dataValidation>
    <dataValidation type="whole" operator="lessThanOrEqual" allowBlank="1" showErrorMessage="1" errorTitle="Mensagem de Erro" error="F não pode ser Superior a MF" sqref="N114">
      <formula1>M114</formula1>
    </dataValidation>
    <dataValidation type="whole" operator="lessThanOrEqual" allowBlank="1" showErrorMessage="1" errorTitle="Mensagem de Erro" error="F não pode ser Superior a MF" sqref="N115">
      <formula1>M115</formula1>
    </dataValidation>
    <dataValidation type="whole" operator="lessThanOrEqual" allowBlank="1" showErrorMessage="1" errorTitle="Mensagem de Erro" error="F não pode ser Superior a MF" sqref="N117">
      <formula1>M117</formula1>
    </dataValidation>
    <dataValidation type="whole" operator="lessThanOrEqual" allowBlank="1" showErrorMessage="1" errorTitle="Mensagem de Erro" error="F não pode ser Superior a MF" sqref="N118">
      <formula1>M118</formula1>
    </dataValidation>
    <dataValidation type="whole" operator="lessThanOrEqual" allowBlank="1" showErrorMessage="1" errorTitle="Mensagem de Erro" error="F não pode ser Superior a MF" sqref="N119">
      <formula1>M119</formula1>
    </dataValidation>
    <dataValidation type="whole" operator="lessThanOrEqual" allowBlank="1" showErrorMessage="1" errorTitle="Mensagem de Erro" error="F não pode ser Superior a MF" sqref="N12">
      <formula1>M12</formula1>
    </dataValidation>
    <dataValidation type="whole" operator="lessThanOrEqual" allowBlank="1" showErrorMessage="1" errorTitle="Mensagem de Erro" error="F não pode ser Superior a MF" sqref="N121">
      <formula1>M121</formula1>
    </dataValidation>
    <dataValidation type="whole" operator="lessThanOrEqual" allowBlank="1" showErrorMessage="1" errorTitle="Mensagem de Erro" error="F não pode ser Superior a MF" sqref="N122">
      <formula1>M122</formula1>
    </dataValidation>
    <dataValidation type="whole" operator="lessThanOrEqual" allowBlank="1" showErrorMessage="1" errorTitle="Mensagem de Erro" error="F não pode ser Superior a MF" sqref="N123">
      <formula1>M123</formula1>
    </dataValidation>
    <dataValidation type="whole" operator="lessThanOrEqual" allowBlank="1" showErrorMessage="1" errorTitle="Mensagem de Erro" error="F não pode ser Superior a MF" sqref="N13">
      <formula1>M13</formula1>
    </dataValidation>
    <dataValidation type="whole" operator="lessThanOrEqual" allowBlank="1" showErrorMessage="1" errorTitle="Mensagem de Erro" error="F não pode ser Superior a MF" sqref="N137">
      <formula1>M137</formula1>
    </dataValidation>
    <dataValidation type="whole" operator="lessThanOrEqual" allowBlank="1" showErrorMessage="1" errorTitle="Mensagem de Erro" error="F não pode ser Superior a MF" sqref="N138">
      <formula1>M138</formula1>
    </dataValidation>
    <dataValidation type="whole" operator="lessThanOrEqual" allowBlank="1" showErrorMessage="1" errorTitle="Mensagem de Erro" error="F não pode ser Superior a MF" sqref="N139">
      <formula1>M139</formula1>
    </dataValidation>
    <dataValidation type="whole" operator="lessThanOrEqual" allowBlank="1" showErrorMessage="1" errorTitle="Mensagem de Erro" error="F não pode ser Superior a MF" sqref="N14">
      <formula1>M14</formula1>
    </dataValidation>
    <dataValidation type="whole" operator="lessThanOrEqual" allowBlank="1" showErrorMessage="1" errorTitle="Mensagem de Erro" error="F não pode ser Superior a MF" sqref="N141">
      <formula1>M141</formula1>
    </dataValidation>
    <dataValidation type="whole" operator="lessThanOrEqual" allowBlank="1" showErrorMessage="1" errorTitle="Mensagem de Erro" error="F não pode ser Superior a MF" sqref="N142">
      <formula1>M142</formula1>
    </dataValidation>
    <dataValidation type="whole" operator="lessThanOrEqual" allowBlank="1" showErrorMessage="1" errorTitle="Mensagem de Erro" error="F não pode ser Superior a MF" sqref="N143">
      <formula1>M143</formula1>
    </dataValidation>
    <dataValidation type="whole" operator="lessThanOrEqual" allowBlank="1" showErrorMessage="1" errorTitle="Mensagem de Erro" error="F não pode ser Superior a MF" sqref="N145">
      <formula1>M145</formula1>
    </dataValidation>
    <dataValidation type="whole" operator="lessThanOrEqual" allowBlank="1" showErrorMessage="1" errorTitle="Mensagem de Erro" error="F não pode ser Superior a MF" sqref="N146">
      <formula1>M146</formula1>
    </dataValidation>
    <dataValidation type="whole" operator="lessThanOrEqual" allowBlank="1" showErrorMessage="1" errorTitle="Mensagem de Erro" error="F não pode ser Superior a MF" sqref="N147">
      <formula1>M147</formula1>
    </dataValidation>
    <dataValidation type="whole" operator="lessThanOrEqual" allowBlank="1" showErrorMessage="1" errorTitle="Mensagem de Erro" error="F não pode ser Superior a MF" sqref="N15">
      <formula1>M15</formula1>
    </dataValidation>
    <dataValidation type="whole" operator="lessThanOrEqual" allowBlank="1" showErrorMessage="1" errorTitle="Mensagem de Erro" error="F não pode ser Superior a MF" sqref="N16">
      <formula1>M16</formula1>
    </dataValidation>
    <dataValidation type="whole" operator="lessThanOrEqual" allowBlank="1" showErrorMessage="1" errorTitle="Mensagem de Erro" error="F não pode ser Superior a MF" sqref="N163">
      <formula1>M163</formula1>
    </dataValidation>
    <dataValidation type="whole" operator="lessThanOrEqual" allowBlank="1" showErrorMessage="1" errorTitle="Mensagem de Erro" error="F não pode ser Superior a MF" sqref="N164">
      <formula1>M164</formula1>
    </dataValidation>
    <dataValidation type="whole" operator="lessThanOrEqual" allowBlank="1" showErrorMessage="1" errorTitle="Mensagem de Erro" error="F não pode ser Superior a MF" sqref="N165">
      <formula1>M165</formula1>
    </dataValidation>
    <dataValidation type="whole" operator="lessThanOrEqual" allowBlank="1" showErrorMessage="1" errorTitle="Mensagem de Erro" error="F não pode ser Superior a MF" sqref="N167">
      <formula1>M167</formula1>
    </dataValidation>
    <dataValidation type="whole" operator="lessThanOrEqual" allowBlank="1" showErrorMessage="1" errorTitle="Mensagem de Erro" error="F não pode ser Superior a MF" sqref="N168">
      <formula1>M168</formula1>
    </dataValidation>
    <dataValidation type="whole" operator="lessThanOrEqual" allowBlank="1" showErrorMessage="1" errorTitle="Mensagem de Erro" error="F não pode ser Superior a MF" sqref="N169">
      <formula1>M169</formula1>
    </dataValidation>
    <dataValidation type="whole" operator="lessThanOrEqual" allowBlank="1" showErrorMessage="1" errorTitle="Mensagem de Erro" error="F não pode ser Superior a MF" sqref="N17">
      <formula1>M17</formula1>
    </dataValidation>
    <dataValidation type="whole" operator="lessThanOrEqual" allowBlank="1" showErrorMessage="1" errorTitle="Mensagem de Erro" error="F não pode ser Superior a MF" sqref="N171">
      <formula1>M171</formula1>
    </dataValidation>
    <dataValidation type="whole" operator="lessThanOrEqual" allowBlank="1" showErrorMessage="1" errorTitle="Mensagem de Erro" error="F não pode ser Superior a MF" sqref="N172">
      <formula1>M172</formula1>
    </dataValidation>
    <dataValidation type="whole" operator="lessThanOrEqual" allowBlank="1" showErrorMessage="1" errorTitle="Mensagem de Erro" error="F não pode ser Superior a MF" sqref="N173">
      <formula1>M173</formula1>
    </dataValidation>
    <dataValidation type="whole" operator="lessThanOrEqual" allowBlank="1" showErrorMessage="1" errorTitle="Mensagem de Erro" error="F não pode ser Superior a MF" sqref="N18">
      <formula1>M18</formula1>
    </dataValidation>
    <dataValidation type="whole" operator="lessThanOrEqual" allowBlank="1" showErrorMessage="1" errorTitle="Mensagem de Erro" error="F não pode ser Superior a MF" sqref="N185">
      <formula1>M185</formula1>
    </dataValidation>
    <dataValidation type="whole" operator="lessThanOrEqual" allowBlank="1" showErrorMessage="1" errorTitle="Mensagem de Erro" error="F não pode ser Superior a MF" sqref="N186">
      <formula1>M186</formula1>
    </dataValidation>
    <dataValidation type="whole" operator="lessThanOrEqual" allowBlank="1" showErrorMessage="1" errorTitle="Mensagem de Erro" error="F não pode ser Superior a MF" sqref="N187">
      <formula1>M187</formula1>
    </dataValidation>
    <dataValidation type="whole" operator="lessThanOrEqual" allowBlank="1" showErrorMessage="1" errorTitle="Mensagem de Erro" error="F não pode ser Superior a MF" sqref="N19">
      <formula1>M19</formula1>
    </dataValidation>
    <dataValidation type="whole" operator="lessThanOrEqual" allowBlank="1" showErrorMessage="1" errorTitle="Mensagem de Erro" error="F não pode ser Superior a MF" sqref="N199">
      <formula1>M199</formula1>
    </dataValidation>
    <dataValidation type="whole" operator="lessThanOrEqual" allowBlank="1" showErrorMessage="1" errorTitle="Mensagem de Erro" error="F não pode ser Superior a MF" sqref="N20">
      <formula1>M20</formula1>
    </dataValidation>
    <dataValidation type="whole" operator="lessThanOrEqual" allowBlank="1" showErrorMessage="1" errorTitle="Mensagem de Erro" error="F não pode ser Superior a MF" sqref="N200">
      <formula1>M200</formula1>
    </dataValidation>
    <dataValidation type="whole" operator="lessThanOrEqual" allowBlank="1" showErrorMessage="1" errorTitle="Mensagem de Erro" error="F não pode ser Superior a MF" sqref="N201">
      <formula1>M201</formula1>
    </dataValidation>
    <dataValidation type="whole" operator="lessThanOrEqual" allowBlank="1" showErrorMessage="1" errorTitle="Mensagem de Erro" error="F não pode ser Superior a MF" sqref="N203">
      <formula1>M203</formula1>
    </dataValidation>
    <dataValidation type="whole" operator="lessThanOrEqual" allowBlank="1" showErrorMessage="1" errorTitle="Mensagem de Erro" error="F não pode ser Superior a MF" sqref="N204">
      <formula1>M204</formula1>
    </dataValidation>
    <dataValidation type="whole" operator="lessThanOrEqual" allowBlank="1" showErrorMessage="1" errorTitle="Mensagem de Erro" error="F não pode ser Superior a MF" sqref="N205">
      <formula1>M205</formula1>
    </dataValidation>
    <dataValidation type="whole" operator="lessThanOrEqual" allowBlank="1" showErrorMessage="1" errorTitle="Mensagem de Erro" error="F não pode ser Superior a MF" sqref="N207">
      <formula1>M207</formula1>
    </dataValidation>
    <dataValidation type="whole" operator="lessThanOrEqual" allowBlank="1" showErrorMessage="1" errorTitle="Mensagem de Erro" error="F não pode ser Superior a MF" sqref="N208">
      <formula1>M208</formula1>
    </dataValidation>
    <dataValidation type="whole" operator="lessThanOrEqual" allowBlank="1" showErrorMessage="1" errorTitle="Mensagem de Erro" error="F não pode ser Superior a MF" sqref="N209">
      <formula1>M209</formula1>
    </dataValidation>
    <dataValidation type="whole" operator="lessThanOrEqual" allowBlank="1" showErrorMessage="1" errorTitle="Mensagem de Erro" error="F não pode ser Superior a MF" sqref="N21">
      <formula1>M21</formula1>
    </dataValidation>
    <dataValidation type="whole" operator="lessThanOrEqual" allowBlank="1" showErrorMessage="1" errorTitle="Mensagem de Erro" error="F não pode ser Superior a MF" sqref="N22">
      <formula1>M22</formula1>
    </dataValidation>
    <dataValidation type="whole" operator="lessThanOrEqual" allowBlank="1" showErrorMessage="1" errorTitle="Mensagem de Erro" error="F não pode ser Superior a MF" sqref="N223">
      <formula1>M223</formula1>
    </dataValidation>
    <dataValidation type="whole" operator="lessThanOrEqual" allowBlank="1" showErrorMessage="1" errorTitle="Mensagem de Erro" error="F não pode ser Superior a MF" sqref="N224">
      <formula1>M224</formula1>
    </dataValidation>
    <dataValidation type="whole" operator="lessThanOrEqual" allowBlank="1" showErrorMessage="1" errorTitle="Mensagem de Erro" error="F não pode ser Superior a MF" sqref="N226">
      <formula1>M226</formula1>
    </dataValidation>
    <dataValidation type="whole" operator="lessThanOrEqual" allowBlank="1" showErrorMessage="1" errorTitle="Mensagem de Erro" error="F não pode ser Superior a MF" sqref="N227">
      <formula1>M227</formula1>
    </dataValidation>
    <dataValidation type="whole" operator="lessThanOrEqual" allowBlank="1" showErrorMessage="1" errorTitle="Mensagem de Erro" error="F não pode ser Superior a MF" sqref="N229">
      <formula1>M229</formula1>
    </dataValidation>
    <dataValidation type="whole" operator="lessThanOrEqual" allowBlank="1" showErrorMessage="1" errorTitle="Mensagem de Erro" error="F não pode ser Superior a MF" sqref="N23">
      <formula1>M23</formula1>
    </dataValidation>
    <dataValidation type="whole" operator="lessThanOrEqual" allowBlank="1" showErrorMessage="1" errorTitle="Mensagem de Erro" error="F não pode ser Superior a MF" sqref="N230">
      <formula1>M230</formula1>
    </dataValidation>
    <dataValidation type="whole" operator="lessThanOrEqual" allowBlank="1" showErrorMessage="1" errorTitle="Mensagem de Erro" error="F não pode ser Superior a MF" sqref="N24">
      <formula1>M24</formula1>
    </dataValidation>
    <dataValidation type="whole" operator="lessThanOrEqual" allowBlank="1" showErrorMessage="1" errorTitle="Mensagem de Erro" error="F não pode ser Superior a MF" sqref="N245">
      <formula1>M245</formula1>
    </dataValidation>
    <dataValidation type="whole" operator="lessThanOrEqual" allowBlank="1" showErrorMessage="1" errorTitle="Mensagem de Erro" error="F não pode ser Superior a MF" sqref="N246">
      <formula1>M246</formula1>
    </dataValidation>
    <dataValidation type="whole" operator="lessThanOrEqual" allowBlank="1" showErrorMessage="1" errorTitle="Mensagem de Erro" error="F não pode ser Superior a MF" sqref="N247">
      <formula1>M247</formula1>
    </dataValidation>
    <dataValidation type="whole" operator="lessThanOrEqual" allowBlank="1" showErrorMessage="1" errorTitle="Mensagem de Erro" error="F não pode ser Superior a MF" sqref="N249">
      <formula1>M249</formula1>
    </dataValidation>
    <dataValidation type="whole" operator="lessThanOrEqual" allowBlank="1" showErrorMessage="1" errorTitle="Mensagem de Erro" error="F não pode ser Superior a MF" sqref="N25">
      <formula1>M25</formula1>
    </dataValidation>
    <dataValidation type="whole" operator="lessThanOrEqual" allowBlank="1" showErrorMessage="1" errorTitle="Mensagem de Erro" error="F não pode ser Superior a MF" sqref="N250">
      <formula1>M250</formula1>
    </dataValidation>
    <dataValidation type="whole" operator="lessThanOrEqual" allowBlank="1" showErrorMessage="1" errorTitle="Mensagem de Erro" error="F não pode ser Superior a MF" sqref="N251">
      <formula1>M251</formula1>
    </dataValidation>
    <dataValidation type="whole" operator="lessThanOrEqual" allowBlank="1" showErrorMessage="1" errorTitle="Mensagem de Erro" error="F não pode ser Superior a MF" sqref="N253">
      <formula1>M253</formula1>
    </dataValidation>
    <dataValidation type="whole" operator="lessThanOrEqual" allowBlank="1" showErrorMessage="1" errorTitle="Mensagem de Erro" error="F não pode ser Superior a MF" sqref="N254">
      <formula1>M254</formula1>
    </dataValidation>
    <dataValidation type="whole" operator="lessThanOrEqual" allowBlank="1" showErrorMessage="1" errorTitle="Mensagem de Erro" error="F não pode ser Superior a MF" sqref="N255">
      <formula1>M255</formula1>
    </dataValidation>
    <dataValidation type="whole" operator="lessThanOrEqual" allowBlank="1" showErrorMessage="1" errorTitle="Mensagem de Erro" error="F não pode ser Superior a MF" sqref="N26">
      <formula1>M26</formula1>
    </dataValidation>
    <dataValidation type="whole" operator="lessThanOrEqual" allowBlank="1" showErrorMessage="1" errorTitle="Mensagem de Erro" error="F não pode ser Superior a MF" sqref="N267">
      <formula1>M267</formula1>
    </dataValidation>
    <dataValidation type="whole" operator="lessThanOrEqual" allowBlank="1" showErrorMessage="1" errorTitle="Mensagem de Erro" error="F não pode ser Superior a MF" sqref="N268">
      <formula1>M268</formula1>
    </dataValidation>
    <dataValidation type="whole" operator="lessThanOrEqual" allowBlank="1" showErrorMessage="1" errorTitle="Mensagem de Erro" error="F não pode ser Superior a MF" sqref="N269">
      <formula1>M269</formula1>
    </dataValidation>
    <dataValidation type="whole" operator="lessThanOrEqual" allowBlank="1" showErrorMessage="1" errorTitle="Mensagem de Erro" error="F não pode ser Superior a MF" sqref="N27">
      <formula1>M27</formula1>
    </dataValidation>
    <dataValidation type="whole" operator="lessThanOrEqual" allowBlank="1" showErrorMessage="1" errorTitle="Mensagem de Erro" error="F não pode ser Superior a MF" sqref="N270">
      <formula1>M270</formula1>
    </dataValidation>
    <dataValidation type="whole" operator="lessThanOrEqual" allowBlank="1" showErrorMessage="1" errorTitle="Mensagem de Erro" error="F não pode ser Superior a MF" sqref="N280">
      <formula1>M280</formula1>
    </dataValidation>
    <dataValidation type="whole" operator="lessThanOrEqual" allowBlank="1" showErrorMessage="1" errorTitle="Mensagem de Erro" error="F não pode ser Superior a MF" sqref="N281">
      <formula1>M281</formula1>
    </dataValidation>
    <dataValidation type="whole" operator="lessThanOrEqual" allowBlank="1" showErrorMessage="1" errorTitle="Mensagem de Erro" error="F não pode ser Superior a MF" sqref="N282">
      <formula1>M282</formula1>
    </dataValidation>
    <dataValidation type="whole" operator="lessThanOrEqual" allowBlank="1" showErrorMessage="1" errorTitle="Mensagem de Erro" error="F não pode ser Superior a MF" sqref="N283">
      <formula1>M283</formula1>
    </dataValidation>
    <dataValidation type="whole" operator="lessThanOrEqual" allowBlank="1" showErrorMessage="1" errorTitle="Mensagem de Erro" error="F não pode ser Superior a MF" sqref="N285">
      <formula1>M285</formula1>
    </dataValidation>
    <dataValidation type="whole" operator="lessThanOrEqual" allowBlank="1" showErrorMessage="1" errorTitle="Mensagem de Erro" error="F não pode ser Superior a MF" sqref="N286">
      <formula1>M286</formula1>
    </dataValidation>
    <dataValidation type="whole" operator="lessThanOrEqual" allowBlank="1" showErrorMessage="1" errorTitle="Mensagem de Erro" error="F não pode ser Superior a MF" sqref="N287">
      <formula1>M287</formula1>
    </dataValidation>
    <dataValidation type="whole" operator="lessThanOrEqual" allowBlank="1" showErrorMessage="1" errorTitle="Mensagem de Erro" error="F não pode ser Superior a MF" sqref="N288">
      <formula1>M288</formula1>
    </dataValidation>
    <dataValidation type="whole" operator="lessThanOrEqual" allowBlank="1" showErrorMessage="1" errorTitle="Mensagem de Erro" error="F não pode ser Superior a MF" sqref="N290">
      <formula1>M290</formula1>
    </dataValidation>
    <dataValidation type="whole" operator="lessThanOrEqual" allowBlank="1" showErrorMessage="1" errorTitle="Mensagem de Erro" error="F não pode ser Superior a MF" sqref="N291">
      <formula1>M291</formula1>
    </dataValidation>
    <dataValidation type="whole" operator="lessThanOrEqual" allowBlank="1" showErrorMessage="1" errorTitle="Mensagem de Erro" error="F não pode ser Superior a MF" sqref="N292">
      <formula1>M292</formula1>
    </dataValidation>
    <dataValidation type="whole" operator="lessThanOrEqual" allowBlank="1" showErrorMessage="1" errorTitle="Mensagem de Erro" error="F não pode ser Superior a MF" sqref="N293">
      <formula1>M293</formula1>
    </dataValidation>
    <dataValidation type="whole" operator="lessThanOrEqual" allowBlank="1" showErrorMessage="1" errorTitle="Mensagem de Erro" error="F não pode ser Superior a MF" sqref="N306">
      <formula1>M306</formula1>
    </dataValidation>
    <dataValidation type="whole" operator="lessThanOrEqual" allowBlank="1" showErrorMessage="1" errorTitle="Mensagem de Erro" error="F não pode ser Superior a MF" sqref="N307">
      <formula1>M307</formula1>
    </dataValidation>
    <dataValidation type="whole" operator="lessThanOrEqual" allowBlank="1" showErrorMessage="1" errorTitle="Mensagem de Erro" error="F não pode ser Superior a MF" sqref="N308">
      <formula1>M308</formula1>
    </dataValidation>
    <dataValidation type="whole" operator="lessThanOrEqual" allowBlank="1" showErrorMessage="1" errorTitle="Mensagem de Erro" error="F não pode ser Superior a MF" sqref="N309">
      <formula1>M309</formula1>
    </dataValidation>
    <dataValidation type="whole" operator="lessThanOrEqual" allowBlank="1" showErrorMessage="1" errorTitle="Mensagem de Erro" error="F não pode ser Superior a MF" sqref="N311">
      <formula1>M311</formula1>
    </dataValidation>
    <dataValidation type="whole" operator="lessThanOrEqual" allowBlank="1" showErrorMessage="1" errorTitle="Mensagem de Erro" error="F não pode ser Superior a MF" sqref="N312">
      <formula1>M312</formula1>
    </dataValidation>
    <dataValidation type="whole" operator="lessThanOrEqual" allowBlank="1" showErrorMessage="1" errorTitle="Mensagem de Erro" error="F não pode ser Superior a MF" sqref="N313">
      <formula1>M313</formula1>
    </dataValidation>
    <dataValidation type="whole" operator="lessThanOrEqual" allowBlank="1" showErrorMessage="1" errorTitle="Mensagem de Erro" error="F não pode ser Superior a MF" sqref="N314">
      <formula1>M314</formula1>
    </dataValidation>
    <dataValidation type="whole" operator="lessThanOrEqual" allowBlank="1" showErrorMessage="1" errorTitle="Mensagem de Erro" error="F não pode ser Superior a MF" sqref="N316">
      <formula1>M316</formula1>
    </dataValidation>
    <dataValidation type="whole" operator="lessThanOrEqual" allowBlank="1" showErrorMessage="1" errorTitle="Mensagem de Erro" error="F não pode ser Superior a MF" sqref="N317">
      <formula1>M317</formula1>
    </dataValidation>
    <dataValidation type="whole" operator="lessThanOrEqual" allowBlank="1" showErrorMessage="1" errorTitle="Mensagem de Erro" error="F não pode ser Superior a MF" sqref="N318">
      <formula1>M318</formula1>
    </dataValidation>
    <dataValidation type="whole" operator="lessThanOrEqual" allowBlank="1" showErrorMessage="1" errorTitle="Mensagem de Erro" error="F não pode ser Superior a MF" sqref="N319">
      <formula1>M319</formula1>
    </dataValidation>
    <dataValidation type="whole" operator="lessThanOrEqual" allowBlank="1" showErrorMessage="1" errorTitle="Mensagem de Erro" error="F não pode ser Superior a MF" sqref="N37">
      <formula1>M37</formula1>
    </dataValidation>
    <dataValidation type="whole" operator="lessThanOrEqual" allowBlank="1" showErrorMessage="1" errorTitle="Mensagem de Erro" error="F não pode ser Superior a MF" sqref="N38">
      <formula1>M38</formula1>
    </dataValidation>
    <dataValidation type="whole" operator="lessThanOrEqual" allowBlank="1" showErrorMessage="1" errorTitle="Mensagem de Erro" error="F não pode ser Superior a MF" sqref="N39">
      <formula1>M39</formula1>
    </dataValidation>
    <dataValidation type="whole" operator="lessThanOrEqual" allowBlank="1" showErrorMessage="1" errorTitle="Mensagem de Erro" error="F não pode ser Superior a MF" sqref="N46">
      <formula1>M46</formula1>
    </dataValidation>
    <dataValidation type="whole" operator="lessThanOrEqual" allowBlank="1" showErrorMessage="1" errorTitle="Mensagem de Erro" error="F não pode ser Superior a MF" sqref="N47">
      <formula1>M47</formula1>
    </dataValidation>
    <dataValidation type="whole" operator="lessThanOrEqual" allowBlank="1" showErrorMessage="1" errorTitle="Mensagem de Erro" error="F não pode ser Superior a MF" sqref="N48">
      <formula1>M48</formula1>
    </dataValidation>
    <dataValidation type="whole" operator="lessThanOrEqual" allowBlank="1" showErrorMessage="1" errorTitle="Mensagem de Erro" error="F não pode ser Superior a MF" sqref="N96">
      <formula1>M96</formula1>
    </dataValidation>
    <dataValidation type="whole" operator="lessThanOrEqual" allowBlank="1" showErrorMessage="1" errorTitle="Mensagem de Erro" error="F não pode ser Superior a MF" sqref="N97">
      <formula1>M97</formula1>
    </dataValidation>
    <dataValidation type="whole" operator="lessThanOrEqual" allowBlank="1" showErrorMessage="1" errorTitle="Mensagem de Erro" error="F não pode ser Superior a MF" sqref="N98">
      <formula1>M98</formula1>
    </dataValidation>
    <dataValidation type="whole" operator="lessThanOrEqual" allowBlank="1" showErrorMessage="1" errorTitle="Mensagem de Erro" error="F não pode ser Superior a MF" sqref="N99">
      <formula1>M99</formula1>
    </dataValidation>
    <dataValidation type="whole" operator="lessThanOrEqual" allowBlank="1" showErrorMessage="1" errorTitle="Mensagem de Erro" error="F não pode ser Superior a MF" sqref="O62">
      <formula1>N62</formula1>
    </dataValidation>
    <dataValidation type="whole" operator="lessThanOrEqual" allowBlank="1" showErrorMessage="1" errorTitle="Mensagem de Erro" error="F não pode ser Superior a MF" sqref="O63">
      <formula1>N63</formula1>
    </dataValidation>
    <dataValidation type="whole" operator="lessThanOrEqual" allowBlank="1" showErrorMessage="1" errorTitle="Mensagem de Erro" error="F não pode ser Superior a MF" sqref="O64">
      <formula1>N64</formula1>
    </dataValidation>
    <dataValidation type="whole" operator="lessThanOrEqual" allowBlank="1" showErrorMessage="1" errorTitle="Mensagem de Erro" error="F não pode ser Superior a MF" sqref="O65">
      <formula1>N65</formula1>
    </dataValidation>
    <dataValidation type="whole" operator="lessThanOrEqual" allowBlank="1" showErrorMessage="1" errorTitle="Mensagem de Erro" error="F não pode ser Superior a MF" sqref="O66">
      <formula1>N66</formula1>
    </dataValidation>
    <dataValidation type="whole" operator="lessThanOrEqual" allowBlank="1" showErrorMessage="1" errorTitle="Mensagem de Erro" error="F não pode ser Superior a MF" sqref="O67">
      <formula1>N67</formula1>
    </dataValidation>
    <dataValidation type="whole" operator="lessThanOrEqual" allowBlank="1" showErrorMessage="1" errorTitle="Mensagem de Erro" error="F não pode ser Superior a MF" sqref="O69">
      <formula1>N69</formula1>
    </dataValidation>
    <dataValidation type="whole" operator="lessThanOrEqual" allowBlank="1" showErrorMessage="1" errorTitle="Mensagem de Erro" error="F não pode ser Superior a MF" sqref="O70">
      <formula1>N70</formula1>
    </dataValidation>
    <dataValidation type="whole" operator="lessThanOrEqual" allowBlank="1" showErrorMessage="1" errorTitle="Mensagem de Erro" error="F não pode ser Superior a MF" sqref="O71">
      <formula1>N71</formula1>
    </dataValidation>
    <dataValidation type="whole" operator="lessThanOrEqual" allowBlank="1" showErrorMessage="1" errorTitle="Mensagem de Erro" error="F não pode ser Superior a MF" sqref="O72">
      <formula1>N72</formula1>
    </dataValidation>
    <dataValidation type="whole" operator="lessThanOrEqual" allowBlank="1" showErrorMessage="1" errorTitle="Mensagem de Erro" error="F não pode ser Superior a MF" sqref="O73">
      <formula1>N73</formula1>
    </dataValidation>
    <dataValidation type="whole" operator="lessThanOrEqual" allowBlank="1" showErrorMessage="1" errorTitle="Mensagem de Erro" error="F não pode ser Superior a MF" sqref="O74">
      <formula1>N74</formula1>
    </dataValidation>
    <dataValidation type="whole" operator="lessThanOrEqual" allowBlank="1" showErrorMessage="1" errorTitle="Mensagem de Erro" error="F não pode ser Superior a MF" sqref="O76">
      <formula1>N76</formula1>
    </dataValidation>
    <dataValidation type="whole" operator="lessThanOrEqual" allowBlank="1" showErrorMessage="1" errorTitle="Mensagem de Erro" error="F não pode ser Superior a MF" sqref="O77">
      <formula1>N77</formula1>
    </dataValidation>
    <dataValidation type="whole" operator="lessThanOrEqual" allowBlank="1" showErrorMessage="1" errorTitle="Mensagem de Erro" error="F não pode ser Superior a MF" sqref="O78">
      <formula1>N78</formula1>
    </dataValidation>
    <dataValidation type="whole" operator="lessThanOrEqual" allowBlank="1" showErrorMessage="1" errorTitle="Mensagem de Erro" error="F não pode ser Superior a MF" sqref="O79">
      <formula1>N79</formula1>
    </dataValidation>
    <dataValidation type="whole" operator="lessThanOrEqual" allowBlank="1" showErrorMessage="1" errorTitle="Mensagem de Erro" error="F não pode ser Superior a MF" sqref="O80">
      <formula1>N80</formula1>
    </dataValidation>
    <dataValidation type="whole" operator="lessThanOrEqual" allowBlank="1" showErrorMessage="1" errorTitle="Mensagem de Erro" error="F não pode ser Superior a MF" sqref="O81">
      <formula1>N81</formula1>
    </dataValidation>
    <dataValidation type="whole" operator="lessThanOrEqual" allowBlank="1" showErrorMessage="1" errorTitle="Mensagem de Erro" error="F não pode ser Superior a MF" sqref="P10">
      <formula1>O10</formula1>
    </dataValidation>
    <dataValidation type="whole" operator="lessThanOrEqual" allowBlank="1" showErrorMessage="1" errorTitle="Mensagem de Erro" error="F não pode ser Superior a MF" sqref="P100">
      <formula1>O100</formula1>
    </dataValidation>
    <dataValidation type="whole" operator="lessThanOrEqual" allowBlank="1" showErrorMessage="1" errorTitle="Mensagem de Erro" error="F não pode ser Superior a MF" sqref="P101">
      <formula1>O101</formula1>
    </dataValidation>
    <dataValidation type="whole" operator="lessThanOrEqual" allowBlank="1" showErrorMessage="1" errorTitle="Mensagem de Erro" error="F não pode ser Superior a MF" sqref="P11">
      <formula1>O11</formula1>
    </dataValidation>
    <dataValidation type="whole" operator="lessThanOrEqual" allowBlank="1" showErrorMessage="1" errorTitle="Mensagem de Erro" error="F não pode ser Superior a MF" sqref="P113">
      <formula1>O113</formula1>
    </dataValidation>
    <dataValidation type="whole" operator="lessThanOrEqual" allowBlank="1" showErrorMessage="1" errorTitle="Mensagem de Erro" error="F não pode ser Superior a MF" sqref="P114">
      <formula1>O114</formula1>
    </dataValidation>
    <dataValidation type="whole" operator="lessThanOrEqual" allowBlank="1" showErrorMessage="1" errorTitle="Mensagem de Erro" error="F não pode ser Superior a MF" sqref="P115">
      <formula1>O115</formula1>
    </dataValidation>
    <dataValidation type="whole" operator="lessThanOrEqual" allowBlank="1" showErrorMessage="1" errorTitle="Mensagem de Erro" error="F não pode ser Superior a MF" sqref="P117">
      <formula1>O117</formula1>
    </dataValidation>
    <dataValidation type="whole" operator="lessThanOrEqual" allowBlank="1" showErrorMessage="1" errorTitle="Mensagem de Erro" error="F não pode ser Superior a MF" sqref="P118">
      <formula1>O118</formula1>
    </dataValidation>
    <dataValidation type="whole" operator="lessThanOrEqual" allowBlank="1" showErrorMessage="1" errorTitle="Mensagem de Erro" error="F não pode ser Superior a MF" sqref="P119">
      <formula1>O119</formula1>
    </dataValidation>
    <dataValidation type="whole" operator="lessThanOrEqual" allowBlank="1" showErrorMessage="1" errorTitle="Mensagem de Erro" error="F não pode ser Superior a MF" sqref="P12">
      <formula1>O12</formula1>
    </dataValidation>
    <dataValidation type="whole" operator="lessThanOrEqual" allowBlank="1" showErrorMessage="1" errorTitle="Mensagem de Erro" error="F não pode ser Superior a MF" sqref="P121">
      <formula1>O121</formula1>
    </dataValidation>
    <dataValidation type="whole" operator="lessThanOrEqual" allowBlank="1" showErrorMessage="1" errorTitle="Mensagem de Erro" error="F não pode ser Superior a MF" sqref="P122">
      <formula1>O122</formula1>
    </dataValidation>
    <dataValidation type="whole" operator="lessThanOrEqual" allowBlank="1" showErrorMessage="1" errorTitle="Mensagem de Erro" error="F não pode ser Superior a MF" sqref="P123">
      <formula1>O123</formula1>
    </dataValidation>
    <dataValidation type="whole" operator="lessThanOrEqual" allowBlank="1" showErrorMessage="1" errorTitle="Mensagem de Erro" error="F não pode ser Superior a MF" sqref="P13">
      <formula1>O13</formula1>
    </dataValidation>
    <dataValidation type="whole" operator="lessThanOrEqual" allowBlank="1" showErrorMessage="1" errorTitle="Mensagem de Erro" error="F não pode ser Superior a MF" sqref="P137">
      <formula1>O137</formula1>
    </dataValidation>
    <dataValidation type="whole" operator="lessThanOrEqual" allowBlank="1" showErrorMessage="1" errorTitle="Mensagem de Erro" error="F não pode ser Superior a MF" sqref="P138">
      <formula1>O138</formula1>
    </dataValidation>
    <dataValidation type="whole" operator="lessThanOrEqual" allowBlank="1" showErrorMessage="1" errorTitle="Mensagem de Erro" error="F não pode ser Superior a MF" sqref="P139">
      <formula1>O139</formula1>
    </dataValidation>
    <dataValidation type="whole" operator="lessThanOrEqual" allowBlank="1" showErrorMessage="1" errorTitle="Mensagem de Erro" error="F não pode ser Superior a MF" sqref="P14">
      <formula1>O14</formula1>
    </dataValidation>
    <dataValidation type="whole" operator="lessThanOrEqual" allowBlank="1" showErrorMessage="1" errorTitle="Mensagem de Erro" error="F não pode ser Superior a MF" sqref="P141">
      <formula1>O141</formula1>
    </dataValidation>
    <dataValidation type="whole" operator="lessThanOrEqual" allowBlank="1" showErrorMessage="1" errorTitle="Mensagem de Erro" error="F não pode ser Superior a MF" sqref="P142">
      <formula1>O142</formula1>
    </dataValidation>
    <dataValidation type="whole" operator="lessThanOrEqual" allowBlank="1" showErrorMessage="1" errorTitle="Mensagem de Erro" error="F não pode ser Superior a MF" sqref="P143">
      <formula1>O143</formula1>
    </dataValidation>
    <dataValidation type="whole" operator="lessThanOrEqual" allowBlank="1" showErrorMessage="1" errorTitle="Mensagem de Erro" error="F não pode ser Superior a MF" sqref="P145">
      <formula1>O145</formula1>
    </dataValidation>
    <dataValidation type="whole" operator="lessThanOrEqual" allowBlank="1" showErrorMessage="1" errorTitle="Mensagem de Erro" error="F não pode ser Superior a MF" sqref="P146">
      <formula1>O146</formula1>
    </dataValidation>
    <dataValidation type="whole" operator="lessThanOrEqual" allowBlank="1" showErrorMessage="1" errorTitle="Mensagem de Erro" error="F não pode ser Superior a MF" sqref="P147">
      <formula1>O147</formula1>
    </dataValidation>
    <dataValidation type="whole" operator="lessThanOrEqual" allowBlank="1" showErrorMessage="1" errorTitle="Mensagem de Erro" error="F não pode ser Superior a MF" sqref="P15">
      <formula1>O15</formula1>
    </dataValidation>
    <dataValidation type="whole" operator="lessThanOrEqual" allowBlank="1" showErrorMessage="1" errorTitle="Mensagem de Erro" error="F não pode ser Superior a MF" sqref="P16">
      <formula1>O16</formula1>
    </dataValidation>
    <dataValidation type="whole" operator="lessThanOrEqual" allowBlank="1" showErrorMessage="1" errorTitle="Mensagem de Erro" error="F não pode ser Superior a MF" sqref="P163">
      <formula1>O163</formula1>
    </dataValidation>
    <dataValidation type="whole" operator="lessThanOrEqual" allowBlank="1" showErrorMessage="1" errorTitle="Mensagem de Erro" error="F não pode ser Superior a MF" sqref="P164">
      <formula1>O164</formula1>
    </dataValidation>
    <dataValidation type="whole" operator="lessThanOrEqual" allowBlank="1" showErrorMessage="1" errorTitle="Mensagem de Erro" error="F não pode ser Superior a MF" sqref="P165">
      <formula1>O165</formula1>
    </dataValidation>
    <dataValidation type="whole" operator="lessThanOrEqual" allowBlank="1" showErrorMessage="1" errorTitle="Mensagem de Erro" error="F não pode ser Superior a MF" sqref="P167">
      <formula1>O167</formula1>
    </dataValidation>
    <dataValidation type="whole" operator="lessThanOrEqual" allowBlank="1" showErrorMessage="1" errorTitle="Mensagem de Erro" error="F não pode ser Superior a MF" sqref="P168">
      <formula1>O168</formula1>
    </dataValidation>
    <dataValidation type="whole" operator="lessThanOrEqual" allowBlank="1" showErrorMessage="1" errorTitle="Mensagem de Erro" error="F não pode ser Superior a MF" sqref="P169">
      <formula1>O169</formula1>
    </dataValidation>
    <dataValidation type="whole" operator="lessThanOrEqual" allowBlank="1" showErrorMessage="1" errorTitle="Mensagem de Erro" error="F não pode ser Superior a MF" sqref="P17">
      <formula1>O17</formula1>
    </dataValidation>
    <dataValidation type="whole" operator="lessThanOrEqual" allowBlank="1" showErrorMessage="1" errorTitle="Mensagem de Erro" error="F não pode ser Superior a MF" sqref="P171">
      <formula1>O171</formula1>
    </dataValidation>
    <dataValidation type="whole" operator="lessThanOrEqual" allowBlank="1" showErrorMessage="1" errorTitle="Mensagem de Erro" error="F não pode ser Superior a MF" sqref="P172">
      <formula1>O172</formula1>
    </dataValidation>
    <dataValidation type="whole" operator="lessThanOrEqual" allowBlank="1" showErrorMessage="1" errorTitle="Mensagem de Erro" error="F não pode ser Superior a MF" sqref="P173">
      <formula1>O173</formula1>
    </dataValidation>
    <dataValidation type="whole" operator="lessThanOrEqual" allowBlank="1" showErrorMessage="1" errorTitle="Mensagem de Erro" error="F não pode ser Superior a MF" sqref="P18">
      <formula1>O18</formula1>
    </dataValidation>
    <dataValidation type="whole" operator="lessThanOrEqual" allowBlank="1" showErrorMessage="1" errorTitle="Mensagem de Erro" error="F não pode ser Superior a MF" sqref="P185">
      <formula1>O185</formula1>
    </dataValidation>
    <dataValidation type="whole" operator="lessThanOrEqual" allowBlank="1" showErrorMessage="1" errorTitle="Mensagem de Erro" error="F não pode ser Superior a MF" sqref="P186">
      <formula1>O186</formula1>
    </dataValidation>
    <dataValidation type="whole" operator="lessThanOrEqual" allowBlank="1" showErrorMessage="1" errorTitle="Mensagem de Erro" error="F não pode ser Superior a MF" sqref="P187">
      <formula1>O187</formula1>
    </dataValidation>
    <dataValidation type="whole" operator="lessThanOrEqual" allowBlank="1" showErrorMessage="1" errorTitle="Mensagem de Erro" error="F não pode ser Superior a MF" sqref="P19">
      <formula1>O19</formula1>
    </dataValidation>
    <dataValidation type="whole" operator="lessThanOrEqual" allowBlank="1" showErrorMessage="1" errorTitle="Mensagem de Erro" error="F não pode ser Superior a MF" sqref="P199">
      <formula1>O199</formula1>
    </dataValidation>
    <dataValidation type="whole" operator="lessThanOrEqual" allowBlank="1" showErrorMessage="1" errorTitle="Mensagem de Erro" error="F não pode ser Superior a MF" sqref="P20">
      <formula1>O20</formula1>
    </dataValidation>
    <dataValidation type="whole" operator="lessThanOrEqual" allowBlank="1" showErrorMessage="1" errorTitle="Mensagem de Erro" error="F não pode ser Superior a MF" sqref="P200">
      <formula1>O200</formula1>
    </dataValidation>
    <dataValidation type="whole" operator="lessThanOrEqual" allowBlank="1" showErrorMessage="1" errorTitle="Mensagem de Erro" error="F não pode ser Superior a MF" sqref="P201">
      <formula1>O201</formula1>
    </dataValidation>
    <dataValidation type="whole" operator="lessThanOrEqual" allowBlank="1" showErrorMessage="1" errorTitle="Mensagem de Erro" error="F não pode ser Superior a MF" sqref="P203">
      <formula1>O203</formula1>
    </dataValidation>
    <dataValidation type="whole" operator="lessThanOrEqual" allowBlank="1" showErrorMessage="1" errorTitle="Mensagem de Erro" error="F não pode ser Superior a MF" sqref="P204">
      <formula1>O204</formula1>
    </dataValidation>
    <dataValidation type="whole" operator="lessThanOrEqual" allowBlank="1" showErrorMessage="1" errorTitle="Mensagem de Erro" error="F não pode ser Superior a MF" sqref="P205">
      <formula1>O205</formula1>
    </dataValidation>
    <dataValidation type="whole" operator="lessThanOrEqual" allowBlank="1" showErrorMessage="1" errorTitle="Mensagem de Erro" error="F não pode ser Superior a MF" sqref="P207">
      <formula1>O207</formula1>
    </dataValidation>
    <dataValidation type="whole" operator="lessThanOrEqual" allowBlank="1" showErrorMessage="1" errorTitle="Mensagem de Erro" error="F não pode ser Superior a MF" sqref="P208">
      <formula1>O208</formula1>
    </dataValidation>
    <dataValidation type="whole" operator="lessThanOrEqual" allowBlank="1" showErrorMessage="1" errorTitle="Mensagem de Erro" error="F não pode ser Superior a MF" sqref="P209">
      <formula1>O209</formula1>
    </dataValidation>
    <dataValidation type="whole" operator="lessThanOrEqual" allowBlank="1" showErrorMessage="1" errorTitle="Mensagem de Erro" error="F não pode ser Superior a MF" sqref="P21">
      <formula1>O21</formula1>
    </dataValidation>
    <dataValidation type="whole" operator="lessThanOrEqual" allowBlank="1" showErrorMessage="1" errorTitle="Mensagem de Erro" error="F não pode ser Superior a MF" sqref="P22">
      <formula1>O22</formula1>
    </dataValidation>
    <dataValidation type="whole" operator="lessThanOrEqual" allowBlank="1" showErrorMessage="1" errorTitle="Mensagem de Erro" error="F não pode ser Superior a MF" sqref="P223">
      <formula1>O223</formula1>
    </dataValidation>
    <dataValidation type="whole" operator="lessThanOrEqual" allowBlank="1" showErrorMessage="1" errorTitle="Mensagem de Erro" error="F não pode ser Superior a MF" sqref="P224">
      <formula1>O224</formula1>
    </dataValidation>
    <dataValidation type="whole" operator="lessThanOrEqual" allowBlank="1" showErrorMessage="1" errorTitle="Mensagem de Erro" error="F não pode ser Superior a MF" sqref="P226">
      <formula1>O226</formula1>
    </dataValidation>
    <dataValidation type="whole" operator="lessThanOrEqual" allowBlank="1" showErrorMessage="1" errorTitle="Mensagem de Erro" error="F não pode ser Superior a MF" sqref="P227">
      <formula1>O227</formula1>
    </dataValidation>
    <dataValidation type="whole" operator="lessThanOrEqual" allowBlank="1" showErrorMessage="1" errorTitle="Mensagem de Erro" error="F não pode ser Superior a MF" sqref="P229">
      <formula1>O229</formula1>
    </dataValidation>
    <dataValidation type="whole" operator="lessThanOrEqual" allowBlank="1" showErrorMessage="1" errorTitle="Mensagem de Erro" error="F não pode ser Superior a MF" sqref="P23">
      <formula1>O23</formula1>
    </dataValidation>
    <dataValidation type="whole" operator="lessThanOrEqual" allowBlank="1" showErrorMessage="1" errorTitle="Mensagem de Erro" error="F não pode ser Superior a MF" sqref="P230">
      <formula1>O230</formula1>
    </dataValidation>
    <dataValidation type="whole" operator="lessThanOrEqual" allowBlank="1" showErrorMessage="1" errorTitle="Mensagem de Erro" error="F não pode ser Superior a MF" sqref="P24">
      <formula1>O24</formula1>
    </dataValidation>
    <dataValidation type="whole" operator="lessThanOrEqual" allowBlank="1" showErrorMessage="1" errorTitle="Mensagem de Erro" error="F não pode ser Superior a MF" sqref="P245">
      <formula1>O245</formula1>
    </dataValidation>
    <dataValidation type="whole" operator="lessThanOrEqual" allowBlank="1" showErrorMessage="1" errorTitle="Mensagem de Erro" error="F não pode ser Superior a MF" sqref="P246">
      <formula1>O246</formula1>
    </dataValidation>
    <dataValidation type="whole" operator="lessThanOrEqual" allowBlank="1" showErrorMessage="1" errorTitle="Mensagem de Erro" error="F não pode ser Superior a MF" sqref="P247">
      <formula1>O247</formula1>
    </dataValidation>
    <dataValidation type="whole" operator="lessThanOrEqual" allowBlank="1" showErrorMessage="1" errorTitle="Mensagem de Erro" error="F não pode ser Superior a MF" sqref="P249">
      <formula1>O249</formula1>
    </dataValidation>
    <dataValidation type="whole" operator="lessThanOrEqual" allowBlank="1" showErrorMessage="1" errorTitle="Mensagem de Erro" error="F não pode ser Superior a MF" sqref="P25">
      <formula1>O25</formula1>
    </dataValidation>
    <dataValidation type="whole" operator="lessThanOrEqual" allowBlank="1" showErrorMessage="1" errorTitle="Mensagem de Erro" error="F não pode ser Superior a MF" sqref="P250">
      <formula1>O250</formula1>
    </dataValidation>
    <dataValidation type="whole" operator="lessThanOrEqual" allowBlank="1" showErrorMessage="1" errorTitle="Mensagem de Erro" error="F não pode ser Superior a MF" sqref="P251">
      <formula1>O251</formula1>
    </dataValidation>
    <dataValidation type="whole" operator="lessThanOrEqual" allowBlank="1" showErrorMessage="1" errorTitle="Mensagem de Erro" error="F não pode ser Superior a MF" sqref="P253">
      <formula1>O253</formula1>
    </dataValidation>
    <dataValidation type="whole" operator="lessThanOrEqual" allowBlank="1" showErrorMessage="1" errorTitle="Mensagem de Erro" error="F não pode ser Superior a MF" sqref="P254">
      <formula1>O254</formula1>
    </dataValidation>
    <dataValidation type="whole" operator="lessThanOrEqual" allowBlank="1" showErrorMessage="1" errorTitle="Mensagem de Erro" error="F não pode ser Superior a MF" sqref="P255">
      <formula1>O255</formula1>
    </dataValidation>
    <dataValidation type="whole" operator="lessThanOrEqual" allowBlank="1" showErrorMessage="1" errorTitle="Mensagem de Erro" error="F não pode ser Superior a MF" sqref="P26">
      <formula1>O26</formula1>
    </dataValidation>
    <dataValidation type="whole" operator="lessThanOrEqual" allowBlank="1" showErrorMessage="1" errorTitle="Mensagem de Erro" error="F não pode ser Superior a MF" sqref="P267">
      <formula1>O267</formula1>
    </dataValidation>
    <dataValidation type="whole" operator="lessThanOrEqual" allowBlank="1" showErrorMessage="1" errorTitle="Mensagem de Erro" error="F não pode ser Superior a MF" sqref="P268">
      <formula1>O268</formula1>
    </dataValidation>
    <dataValidation type="whole" operator="lessThanOrEqual" allowBlank="1" showErrorMessage="1" errorTitle="Mensagem de Erro" error="F não pode ser Superior a MF" sqref="P269">
      <formula1>O269</formula1>
    </dataValidation>
    <dataValidation type="whole" operator="lessThanOrEqual" allowBlank="1" showErrorMessage="1" errorTitle="Mensagem de Erro" error="F não pode ser Superior a MF" sqref="P27">
      <formula1>O27</formula1>
    </dataValidation>
    <dataValidation type="whole" operator="lessThanOrEqual" allowBlank="1" showErrorMessage="1" errorTitle="Mensagem de Erro" error="F não pode ser Superior a MF" sqref="P270">
      <formula1>O270</formula1>
    </dataValidation>
    <dataValidation type="whole" operator="lessThanOrEqual" allowBlank="1" showErrorMessage="1" errorTitle="Mensagem de Erro" error="F não pode ser Superior a MF" sqref="P280">
      <formula1>O280</formula1>
    </dataValidation>
    <dataValidation type="whole" operator="lessThanOrEqual" allowBlank="1" showErrorMessage="1" errorTitle="Mensagem de Erro" error="F não pode ser Superior a MF" sqref="P281">
      <formula1>O281</formula1>
    </dataValidation>
    <dataValidation type="whole" operator="lessThanOrEqual" allowBlank="1" showErrorMessage="1" errorTitle="Mensagem de Erro" error="F não pode ser Superior a MF" sqref="P282">
      <formula1>O282</formula1>
    </dataValidation>
    <dataValidation type="whole" operator="lessThanOrEqual" allowBlank="1" showErrorMessage="1" errorTitle="Mensagem de Erro" error="F não pode ser Superior a MF" sqref="P283">
      <formula1>O283</formula1>
    </dataValidation>
    <dataValidation type="whole" operator="lessThanOrEqual" allowBlank="1" showErrorMessage="1" errorTitle="Mensagem de Erro" error="F não pode ser Superior a MF" sqref="P285">
      <formula1>O285</formula1>
    </dataValidation>
    <dataValidation type="whole" operator="lessThanOrEqual" allowBlank="1" showErrorMessage="1" errorTitle="Mensagem de Erro" error="F não pode ser Superior a MF" sqref="P286">
      <formula1>O286</formula1>
    </dataValidation>
    <dataValidation type="whole" operator="lessThanOrEqual" allowBlank="1" showErrorMessage="1" errorTitle="Mensagem de Erro" error="F não pode ser Superior a MF" sqref="P287">
      <formula1>O287</formula1>
    </dataValidation>
    <dataValidation type="whole" operator="lessThanOrEqual" allowBlank="1" showErrorMessage="1" errorTitle="Mensagem de Erro" error="F não pode ser Superior a MF" sqref="P288">
      <formula1>O288</formula1>
    </dataValidation>
    <dataValidation type="whole" operator="lessThanOrEqual" allowBlank="1" showErrorMessage="1" errorTitle="Mensagem de Erro" error="F não pode ser Superior a MF" sqref="P290">
      <formula1>O290</formula1>
    </dataValidation>
    <dataValidation type="whole" operator="lessThanOrEqual" allowBlank="1" showErrorMessage="1" errorTitle="Mensagem de Erro" error="F não pode ser Superior a MF" sqref="P291">
      <formula1>O291</formula1>
    </dataValidation>
    <dataValidation type="whole" operator="lessThanOrEqual" allowBlank="1" showErrorMessage="1" errorTitle="Mensagem de Erro" error="F não pode ser Superior a MF" sqref="P292">
      <formula1>O292</formula1>
    </dataValidation>
    <dataValidation type="whole" operator="lessThanOrEqual" allowBlank="1" showErrorMessage="1" errorTitle="Mensagem de Erro" error="F não pode ser Superior a MF" sqref="P293">
      <formula1>O293</formula1>
    </dataValidation>
    <dataValidation type="whole" operator="lessThanOrEqual" allowBlank="1" showErrorMessage="1" errorTitle="Mensagem de Erro" error="F não pode ser Superior a MF" sqref="P306">
      <formula1>O306</formula1>
    </dataValidation>
    <dataValidation type="whole" operator="lessThanOrEqual" allowBlank="1" showErrorMessage="1" errorTitle="Mensagem de Erro" error="F não pode ser Superior a MF" sqref="P307">
      <formula1>O307</formula1>
    </dataValidation>
    <dataValidation type="whole" operator="lessThanOrEqual" allowBlank="1" showErrorMessage="1" errorTitle="Mensagem de Erro" error="F não pode ser Superior a MF" sqref="P308">
      <formula1>O308</formula1>
    </dataValidation>
    <dataValidation type="whole" operator="lessThanOrEqual" allowBlank="1" showErrorMessage="1" errorTitle="Mensagem de Erro" error="F não pode ser Superior a MF" sqref="P309">
      <formula1>O309</formula1>
    </dataValidation>
    <dataValidation type="whole" operator="lessThanOrEqual" allowBlank="1" showErrorMessage="1" errorTitle="Mensagem de Erro" error="F não pode ser Superior a MF" sqref="P311">
      <formula1>O311</formula1>
    </dataValidation>
    <dataValidation type="whole" operator="lessThanOrEqual" allowBlank="1" showErrorMessage="1" errorTitle="Mensagem de Erro" error="F não pode ser Superior a MF" sqref="P312">
      <formula1>O312</formula1>
    </dataValidation>
    <dataValidation type="whole" operator="lessThanOrEqual" allowBlank="1" showErrorMessage="1" errorTitle="Mensagem de Erro" error="F não pode ser Superior a MF" sqref="P313">
      <formula1>O313</formula1>
    </dataValidation>
    <dataValidation type="whole" operator="lessThanOrEqual" allowBlank="1" showErrorMessage="1" errorTitle="Mensagem de Erro" error="F não pode ser Superior a MF" sqref="P314">
      <formula1>O314</formula1>
    </dataValidation>
    <dataValidation type="whole" operator="lessThanOrEqual" allowBlank="1" showErrorMessage="1" errorTitle="Mensagem de Erro" error="F não pode ser Superior a MF" sqref="P316">
      <formula1>O316</formula1>
    </dataValidation>
    <dataValidation type="whole" operator="lessThanOrEqual" allowBlank="1" showErrorMessage="1" errorTitle="Mensagem de Erro" error="F não pode ser Superior a MF" sqref="P317">
      <formula1>O317</formula1>
    </dataValidation>
    <dataValidation type="whole" operator="lessThanOrEqual" allowBlank="1" showErrorMessage="1" errorTitle="Mensagem de Erro" error="F não pode ser Superior a MF" sqref="P318">
      <formula1>O318</formula1>
    </dataValidation>
    <dataValidation type="whole" operator="lessThanOrEqual" allowBlank="1" showErrorMessage="1" errorTitle="Mensagem de Erro" error="F não pode ser Superior a MF" sqref="P319">
      <formula1>O319</formula1>
    </dataValidation>
    <dataValidation type="whole" operator="lessThanOrEqual" allowBlank="1" showErrorMessage="1" errorTitle="Mensagem de Erro" error="F não pode ser Superior a MF" sqref="P37">
      <formula1>O37</formula1>
    </dataValidation>
    <dataValidation type="whole" operator="lessThanOrEqual" allowBlank="1" showErrorMessage="1" errorTitle="Mensagem de Erro" error="F não pode ser Superior a MF" sqref="P38">
      <formula1>O38</formula1>
    </dataValidation>
    <dataValidation type="whole" operator="lessThanOrEqual" allowBlank="1" showErrorMessage="1" errorTitle="Mensagem de Erro" error="F não pode ser Superior a MF" sqref="P39">
      <formula1>O39</formula1>
    </dataValidation>
    <dataValidation type="whole" operator="lessThanOrEqual" allowBlank="1" showErrorMessage="1" errorTitle="Mensagem de Erro" error="F não pode ser Superior a MF" sqref="P46">
      <formula1>O46</formula1>
    </dataValidation>
    <dataValidation type="whole" operator="lessThanOrEqual" allowBlank="1" showErrorMessage="1" errorTitle="Mensagem de Erro" error="F não pode ser Superior a MF" sqref="P47">
      <formula1>O47</formula1>
    </dataValidation>
    <dataValidation type="whole" operator="lessThanOrEqual" allowBlank="1" showErrorMessage="1" errorTitle="Mensagem de Erro" error="F não pode ser Superior a MF" sqref="P48">
      <formula1>O48</formula1>
    </dataValidation>
    <dataValidation type="whole" operator="lessThanOrEqual" allowBlank="1" showErrorMessage="1" errorTitle="Mensagem de Erro" error="F não pode ser Superior a MF" sqref="P96">
      <formula1>O96</formula1>
    </dataValidation>
    <dataValidation type="whole" operator="lessThanOrEqual" allowBlank="1" showErrorMessage="1" errorTitle="Mensagem de Erro" error="F não pode ser Superior a MF" sqref="P97">
      <formula1>O97</formula1>
    </dataValidation>
    <dataValidation type="whole" operator="lessThanOrEqual" allowBlank="1" showErrorMessage="1" errorTitle="Mensagem de Erro" error="F não pode ser Superior a MF" sqref="P98">
      <formula1>O98</formula1>
    </dataValidation>
    <dataValidation type="whole" operator="lessThanOrEqual" allowBlank="1" showErrorMessage="1" errorTitle="Mensagem de Erro" error="F não pode ser Superior a MF" sqref="P99">
      <formula1>O99</formula1>
    </dataValidation>
    <dataValidation type="whole" operator="lessThanOrEqual" allowBlank="1" showErrorMessage="1" errorTitle="Mensagem de Erro" error="F não pode ser Superior a MF" sqref="Q62">
      <formula1>P62</formula1>
    </dataValidation>
    <dataValidation type="whole" operator="lessThanOrEqual" allowBlank="1" showErrorMessage="1" errorTitle="Mensagem de Erro" error="F não pode ser Superior a MF" sqref="Q63">
      <formula1>P63</formula1>
    </dataValidation>
    <dataValidation type="whole" operator="lessThanOrEqual" allowBlank="1" showErrorMessage="1" errorTitle="Mensagem de Erro" error="F não pode ser Superior a MF" sqref="Q64">
      <formula1>P64</formula1>
    </dataValidation>
    <dataValidation type="whole" operator="lessThanOrEqual" allowBlank="1" showErrorMessage="1" errorTitle="Mensagem de Erro" error="F não pode ser Superior a MF" sqref="Q65">
      <formula1>P65</formula1>
    </dataValidation>
    <dataValidation type="whole" operator="lessThanOrEqual" allowBlank="1" showErrorMessage="1" errorTitle="Mensagem de Erro" error="F não pode ser Superior a MF" sqref="Q66">
      <formula1>P66</formula1>
    </dataValidation>
    <dataValidation type="whole" operator="lessThanOrEqual" allowBlank="1" showErrorMessage="1" errorTitle="Mensagem de Erro" error="F não pode ser Superior a MF" sqref="Q67">
      <formula1>P67</formula1>
    </dataValidation>
    <dataValidation type="whole" operator="lessThanOrEqual" allowBlank="1" showErrorMessage="1" errorTitle="Mensagem de Erro" error="F não pode ser Superior a MF" sqref="Q69">
      <formula1>P69</formula1>
    </dataValidation>
    <dataValidation type="whole" operator="lessThanOrEqual" allowBlank="1" showErrorMessage="1" errorTitle="Mensagem de Erro" error="F não pode ser Superior a MF" sqref="Q70">
      <formula1>P70</formula1>
    </dataValidation>
    <dataValidation type="whole" operator="lessThanOrEqual" allowBlank="1" showErrorMessage="1" errorTitle="Mensagem de Erro" error="F não pode ser Superior a MF" sqref="Q71">
      <formula1>P71</formula1>
    </dataValidation>
    <dataValidation type="whole" operator="lessThanOrEqual" allowBlank="1" showErrorMessage="1" errorTitle="Mensagem de Erro" error="F não pode ser Superior a MF" sqref="Q72">
      <formula1>P72</formula1>
    </dataValidation>
    <dataValidation type="whole" operator="lessThanOrEqual" allowBlank="1" showErrorMessage="1" errorTitle="Mensagem de Erro" error="F não pode ser Superior a MF" sqref="Q73">
      <formula1>P73</formula1>
    </dataValidation>
    <dataValidation type="whole" operator="lessThanOrEqual" allowBlank="1" showErrorMessage="1" errorTitle="Mensagem de Erro" error="F não pode ser Superior a MF" sqref="Q74">
      <formula1>P74</formula1>
    </dataValidation>
    <dataValidation type="whole" operator="lessThanOrEqual" allowBlank="1" showErrorMessage="1" errorTitle="Mensagem de Erro" error="F não pode ser Superior a MF" sqref="Q76">
      <formula1>P76</formula1>
    </dataValidation>
    <dataValidation type="whole" operator="lessThanOrEqual" allowBlank="1" showErrorMessage="1" errorTitle="Mensagem de Erro" error="F não pode ser Superior a MF" sqref="Q77">
      <formula1>P77</formula1>
    </dataValidation>
    <dataValidation type="whole" operator="lessThanOrEqual" allowBlank="1" showErrorMessage="1" errorTitle="Mensagem de Erro" error="F não pode ser Superior a MF" sqref="Q78">
      <formula1>P78</formula1>
    </dataValidation>
    <dataValidation type="whole" operator="lessThanOrEqual" allowBlank="1" showErrorMessage="1" errorTitle="Mensagem de Erro" error="F não pode ser Superior a MF" sqref="Q79">
      <formula1>P79</formula1>
    </dataValidation>
    <dataValidation type="whole" operator="lessThanOrEqual" allowBlank="1" showErrorMessage="1" errorTitle="Mensagem de Erro" error="F não pode ser Superior a MF" sqref="Q80">
      <formula1>P80</formula1>
    </dataValidation>
    <dataValidation type="whole" operator="lessThanOrEqual" allowBlank="1" showErrorMessage="1" errorTitle="Mensagem de Erro" error="F não pode ser Superior a MF" sqref="Q81">
      <formula1>P81</formula1>
    </dataValidation>
    <dataValidation type="whole" operator="lessThanOrEqual" allowBlank="1" showErrorMessage="1" errorTitle="Mensagem de Erro" error="F não pode ser Superior a MF" sqref="R100">
      <formula1>Q100</formula1>
    </dataValidation>
    <dataValidation type="whole" operator="lessThanOrEqual" allowBlank="1" showErrorMessage="1" errorTitle="Mensagem de Erro" error="F não pode ser Superior a MF" sqref="R101">
      <formula1>Q101</formula1>
    </dataValidation>
    <dataValidation type="whole" operator="lessThanOrEqual" allowBlank="1" showErrorMessage="1" errorTitle="Mensagem de Erro" error="F não pode ser Superior a MF" sqref="R113">
      <formula1>Q113</formula1>
    </dataValidation>
    <dataValidation type="whole" operator="lessThanOrEqual" allowBlank="1" showErrorMessage="1" errorTitle="Mensagem de Erro" error="F não pode ser Superior a MF" sqref="R114">
      <formula1>Q114</formula1>
    </dataValidation>
    <dataValidation type="whole" operator="lessThanOrEqual" allowBlank="1" showErrorMessage="1" errorTitle="Mensagem de Erro" error="F não pode ser Superior a MF" sqref="R115">
      <formula1>Q115</formula1>
    </dataValidation>
    <dataValidation type="whole" operator="lessThanOrEqual" allowBlank="1" showErrorMessage="1" errorTitle="Mensagem de Erro" error="F não pode ser Superior a MF" sqref="R117">
      <formula1>Q117</formula1>
    </dataValidation>
    <dataValidation type="whole" operator="lessThanOrEqual" allowBlank="1" showErrorMessage="1" errorTitle="Mensagem de Erro" error="F não pode ser Superior a MF" sqref="R118">
      <formula1>Q118</formula1>
    </dataValidation>
    <dataValidation type="whole" operator="lessThanOrEqual" allowBlank="1" showErrorMessage="1" errorTitle="Mensagem de Erro" error="F não pode ser Superior a MF" sqref="R119">
      <formula1>Q119</formula1>
    </dataValidation>
    <dataValidation type="whole" operator="lessThanOrEqual" allowBlank="1" showErrorMessage="1" errorTitle="Mensagem de Erro" error="F não pode ser Superior a MF" sqref="R121">
      <formula1>Q121</formula1>
    </dataValidation>
    <dataValidation type="whole" operator="lessThanOrEqual" allowBlank="1" showErrorMessage="1" errorTitle="Mensagem de Erro" error="F não pode ser Superior a MF" sqref="R122">
      <formula1>Q122</formula1>
    </dataValidation>
    <dataValidation type="whole" operator="lessThanOrEqual" allowBlank="1" showErrorMessage="1" errorTitle="Mensagem de Erro" error="F não pode ser Superior a MF" sqref="R123">
      <formula1>Q123</formula1>
    </dataValidation>
    <dataValidation type="whole" operator="lessThanOrEqual" allowBlank="1" showErrorMessage="1" errorTitle="Mensagem de Erro" error="F não pode ser Superior a MF" sqref="R137">
      <formula1>Q137</formula1>
    </dataValidation>
    <dataValidation type="whole" operator="lessThanOrEqual" allowBlank="1" showErrorMessage="1" errorTitle="Mensagem de Erro" error="F não pode ser Superior a MF" sqref="R138">
      <formula1>Q138</formula1>
    </dataValidation>
    <dataValidation type="whole" operator="lessThanOrEqual" allowBlank="1" showErrorMessage="1" errorTitle="Mensagem de Erro" error="F não pode ser Superior a MF" sqref="R139">
      <formula1>Q139</formula1>
    </dataValidation>
    <dataValidation type="whole" operator="lessThanOrEqual" allowBlank="1" showErrorMessage="1" errorTitle="Mensagem de Erro" error="F não pode ser Superior a MF" sqref="R141">
      <formula1>Q141</formula1>
    </dataValidation>
    <dataValidation type="whole" operator="lessThanOrEqual" allowBlank="1" showErrorMessage="1" errorTitle="Mensagem de Erro" error="F não pode ser Superior a MF" sqref="R142">
      <formula1>Q142</formula1>
    </dataValidation>
    <dataValidation type="whole" operator="lessThanOrEqual" allowBlank="1" showErrorMessage="1" errorTitle="Mensagem de Erro" error="F não pode ser Superior a MF" sqref="R143">
      <formula1>Q143</formula1>
    </dataValidation>
    <dataValidation type="whole" operator="lessThanOrEqual" allowBlank="1" showErrorMessage="1" errorTitle="Mensagem de Erro" error="F não pode ser Superior a MF" sqref="R145">
      <formula1>Q145</formula1>
    </dataValidation>
    <dataValidation type="whole" operator="lessThanOrEqual" allowBlank="1" showErrorMessage="1" errorTitle="Mensagem de Erro" error="F não pode ser Superior a MF" sqref="R146">
      <formula1>Q146</formula1>
    </dataValidation>
    <dataValidation type="whole" operator="lessThanOrEqual" allowBlank="1" showErrorMessage="1" errorTitle="Mensagem de Erro" error="F não pode ser Superior a MF" sqref="R147">
      <formula1>Q147</formula1>
    </dataValidation>
    <dataValidation type="whole" operator="lessThanOrEqual" allowBlank="1" showErrorMessage="1" errorTitle="Mensagem de Erro" error="F não pode ser Superior a MF" sqref="R163">
      <formula1>Q163</formula1>
    </dataValidation>
    <dataValidation type="whole" operator="lessThanOrEqual" allowBlank="1" showErrorMessage="1" errorTitle="Mensagem de Erro" error="F não pode ser Superior a MF" sqref="R164">
      <formula1>Q164</formula1>
    </dataValidation>
    <dataValidation type="whole" operator="lessThanOrEqual" allowBlank="1" showErrorMessage="1" errorTitle="Mensagem de Erro" error="F não pode ser Superior a MF" sqref="R165">
      <formula1>Q165</formula1>
    </dataValidation>
    <dataValidation type="whole" operator="lessThanOrEqual" allowBlank="1" showErrorMessage="1" errorTitle="Mensagem de Erro" error="F não pode ser Superior a MF" sqref="R167">
      <formula1>Q167</formula1>
    </dataValidation>
    <dataValidation type="whole" operator="lessThanOrEqual" allowBlank="1" showErrorMessage="1" errorTitle="Mensagem de Erro" error="F não pode ser Superior a MF" sqref="R168">
      <formula1>Q168</formula1>
    </dataValidation>
    <dataValidation type="whole" operator="lessThanOrEqual" allowBlank="1" showErrorMessage="1" errorTitle="Mensagem de Erro" error="F não pode ser Superior a MF" sqref="R169">
      <formula1>Q169</formula1>
    </dataValidation>
    <dataValidation type="whole" operator="lessThanOrEqual" allowBlank="1" showErrorMessage="1" errorTitle="Mensagem de Erro" error="F não pode ser Superior a MF" sqref="R171">
      <formula1>Q171</formula1>
    </dataValidation>
    <dataValidation type="whole" operator="lessThanOrEqual" allowBlank="1" showErrorMessage="1" errorTitle="Mensagem de Erro" error="F não pode ser Superior a MF" sqref="R172">
      <formula1>Q172</formula1>
    </dataValidation>
    <dataValidation type="whole" operator="lessThanOrEqual" allowBlank="1" showErrorMessage="1" errorTitle="Mensagem de Erro" error="F não pode ser Superior a MF" sqref="R173">
      <formula1>Q173</formula1>
    </dataValidation>
    <dataValidation type="whole" operator="lessThanOrEqual" allowBlank="1" showErrorMessage="1" errorTitle="Mensagem de Erro" error="F não pode ser Superior a MF" sqref="R185">
      <formula1>Q185</formula1>
    </dataValidation>
    <dataValidation type="whole" operator="lessThanOrEqual" allowBlank="1" showErrorMessage="1" errorTitle="Mensagem de Erro" error="F não pode ser Superior a MF" sqref="R186">
      <formula1>Q186</formula1>
    </dataValidation>
    <dataValidation type="whole" operator="lessThanOrEqual" allowBlank="1" showErrorMessage="1" errorTitle="Mensagem de Erro" error="F não pode ser Superior a MF" sqref="R187">
      <formula1>Q187</formula1>
    </dataValidation>
    <dataValidation type="whole" operator="lessThanOrEqual" allowBlank="1" showErrorMessage="1" errorTitle="Mensagem de Erro" error="F não pode ser Superior a MF" sqref="R199">
      <formula1>Q199</formula1>
    </dataValidation>
    <dataValidation type="whole" operator="lessThanOrEqual" allowBlank="1" showErrorMessage="1" errorTitle="Mensagem de Erro" error="F não pode ser Superior a MF" sqref="R200">
      <formula1>Q200</formula1>
    </dataValidation>
    <dataValidation type="whole" operator="lessThanOrEqual" allowBlank="1" showErrorMessage="1" errorTitle="Mensagem de Erro" error="F não pode ser Superior a MF" sqref="R201">
      <formula1>Q201</formula1>
    </dataValidation>
    <dataValidation type="whole" operator="lessThanOrEqual" allowBlank="1" showErrorMessage="1" errorTitle="Mensagem de Erro" error="F não pode ser Superior a MF" sqref="R203">
      <formula1>Q203</formula1>
    </dataValidation>
    <dataValidation type="whole" operator="lessThanOrEqual" allowBlank="1" showErrorMessage="1" errorTitle="Mensagem de Erro" error="F não pode ser Superior a MF" sqref="R204">
      <formula1>Q204</formula1>
    </dataValidation>
    <dataValidation type="whole" operator="lessThanOrEqual" allowBlank="1" showErrorMessage="1" errorTitle="Mensagem de Erro" error="F não pode ser Superior a MF" sqref="R205">
      <formula1>Q205</formula1>
    </dataValidation>
    <dataValidation type="whole" operator="lessThanOrEqual" allowBlank="1" showErrorMessage="1" errorTitle="Mensagem de Erro" error="F não pode ser Superior a MF" sqref="R207">
      <formula1>Q207</formula1>
    </dataValidation>
    <dataValidation type="whole" operator="lessThanOrEqual" allowBlank="1" showErrorMessage="1" errorTitle="Mensagem de Erro" error="F não pode ser Superior a MF" sqref="R208">
      <formula1>Q208</formula1>
    </dataValidation>
    <dataValidation type="whole" operator="lessThanOrEqual" allowBlank="1" showErrorMessage="1" errorTitle="Mensagem de Erro" error="F não pode ser Superior a MF" sqref="R209">
      <formula1>Q209</formula1>
    </dataValidation>
    <dataValidation type="whole" operator="lessThanOrEqual" allowBlank="1" showErrorMessage="1" errorTitle="Mensagem de Erro" error="F não pode ser Superior a MF" sqref="R223">
      <formula1>Q223</formula1>
    </dataValidation>
    <dataValidation type="whole" operator="lessThanOrEqual" allowBlank="1" showErrorMessage="1" errorTitle="Mensagem de Erro" error="F não pode ser Superior a MF" sqref="R224">
      <formula1>Q224</formula1>
    </dataValidation>
    <dataValidation type="whole" operator="lessThanOrEqual" allowBlank="1" showErrorMessage="1" errorTitle="Mensagem de Erro" error="F não pode ser Superior a MF" sqref="R226">
      <formula1>Q226</formula1>
    </dataValidation>
    <dataValidation type="whole" operator="lessThanOrEqual" allowBlank="1" showErrorMessage="1" errorTitle="Mensagem de Erro" error="F não pode ser Superior a MF" sqref="R227">
      <formula1>Q227</formula1>
    </dataValidation>
    <dataValidation type="whole" operator="lessThanOrEqual" allowBlank="1" showErrorMessage="1" errorTitle="Mensagem de Erro" error="F não pode ser Superior a MF" sqref="R229">
      <formula1>Q229</formula1>
    </dataValidation>
    <dataValidation type="whole" operator="lessThanOrEqual" allowBlank="1" showErrorMessage="1" errorTitle="Mensagem de Erro" error="F não pode ser Superior a MF" sqref="R230">
      <formula1>Q230</formula1>
    </dataValidation>
    <dataValidation type="whole" operator="lessThanOrEqual" allowBlank="1" showErrorMessage="1" errorTitle="Mensagem de Erro" error="F não pode ser Superior a MF" sqref="R245">
      <formula1>Q245</formula1>
    </dataValidation>
    <dataValidation type="whole" operator="lessThanOrEqual" allowBlank="1" showErrorMessage="1" errorTitle="Mensagem de Erro" error="F não pode ser Superior a MF" sqref="R246">
      <formula1>Q246</formula1>
    </dataValidation>
    <dataValidation type="whole" operator="lessThanOrEqual" allowBlank="1" showErrorMessage="1" errorTitle="Mensagem de Erro" error="F não pode ser Superior a MF" sqref="R247">
      <formula1>Q247</formula1>
    </dataValidation>
    <dataValidation type="whole" operator="lessThanOrEqual" allowBlank="1" showErrorMessage="1" errorTitle="Mensagem de Erro" error="F não pode ser Superior a MF" sqref="R249">
      <formula1>Q249</formula1>
    </dataValidation>
    <dataValidation type="whole" operator="lessThanOrEqual" allowBlank="1" showErrorMessage="1" errorTitle="Mensagem de Erro" error="F não pode ser Superior a MF" sqref="R250">
      <formula1>Q250</formula1>
    </dataValidation>
    <dataValidation type="whole" operator="lessThanOrEqual" allowBlank="1" showErrorMessage="1" errorTitle="Mensagem de Erro" error="F não pode ser Superior a MF" sqref="R251">
      <formula1>Q251</formula1>
    </dataValidation>
    <dataValidation type="whole" operator="lessThanOrEqual" allowBlank="1" showErrorMessage="1" errorTitle="Mensagem de Erro" error="F não pode ser Superior a MF" sqref="R253">
      <formula1>Q253</formula1>
    </dataValidation>
    <dataValidation type="whole" operator="lessThanOrEqual" allowBlank="1" showErrorMessage="1" errorTitle="Mensagem de Erro" error="F não pode ser Superior a MF" sqref="R254">
      <formula1>Q254</formula1>
    </dataValidation>
    <dataValidation type="whole" operator="lessThanOrEqual" allowBlank="1" showErrorMessage="1" errorTitle="Mensagem de Erro" error="F não pode ser Superior a MF" sqref="R255">
      <formula1>Q255</formula1>
    </dataValidation>
    <dataValidation type="whole" operator="lessThanOrEqual" allowBlank="1" showErrorMessage="1" errorTitle="Mensagem de Erro" error="F não pode ser Superior a MF" sqref="R267">
      <formula1>Q267</formula1>
    </dataValidation>
    <dataValidation type="whole" operator="lessThanOrEqual" allowBlank="1" showErrorMessage="1" errorTitle="Mensagem de Erro" error="F não pode ser Superior a MF" sqref="R268">
      <formula1>Q268</formula1>
    </dataValidation>
    <dataValidation type="whole" operator="lessThanOrEqual" allowBlank="1" showErrorMessage="1" errorTitle="Mensagem de Erro" error="F não pode ser Superior a MF" sqref="R269">
      <formula1>Q269</formula1>
    </dataValidation>
    <dataValidation type="whole" operator="lessThanOrEqual" allowBlank="1" showErrorMessage="1" errorTitle="Mensagem de Erro" error="F não pode ser Superior a MF" sqref="R270">
      <formula1>Q270</formula1>
    </dataValidation>
    <dataValidation type="whole" operator="lessThanOrEqual" allowBlank="1" showErrorMessage="1" errorTitle="Mensagem de Erro" error="F não pode ser Superior a MF" sqref="R280">
      <formula1>Q280</formula1>
    </dataValidation>
    <dataValidation type="whole" operator="lessThanOrEqual" allowBlank="1" showErrorMessage="1" errorTitle="Mensagem de Erro" error="F não pode ser Superior a MF" sqref="R281">
      <formula1>Q281</formula1>
    </dataValidation>
    <dataValidation type="whole" operator="lessThanOrEqual" allowBlank="1" showErrorMessage="1" errorTitle="Mensagem de Erro" error="F não pode ser Superior a MF" sqref="R282">
      <formula1>Q282</formula1>
    </dataValidation>
    <dataValidation type="whole" operator="lessThanOrEqual" allowBlank="1" showErrorMessage="1" errorTitle="Mensagem de Erro" error="F não pode ser Superior a MF" sqref="R283">
      <formula1>Q283</formula1>
    </dataValidation>
    <dataValidation type="whole" operator="lessThanOrEqual" allowBlank="1" showErrorMessage="1" errorTitle="Mensagem de Erro" error="F não pode ser Superior a MF" sqref="R285">
      <formula1>Q285</formula1>
    </dataValidation>
    <dataValidation type="whole" operator="lessThanOrEqual" allowBlank="1" showErrorMessage="1" errorTitle="Mensagem de Erro" error="F não pode ser Superior a MF" sqref="R286">
      <formula1>Q286</formula1>
    </dataValidation>
    <dataValidation type="whole" operator="lessThanOrEqual" allowBlank="1" showErrorMessage="1" errorTitle="Mensagem de Erro" error="F não pode ser Superior a MF" sqref="R287">
      <formula1>Q287</formula1>
    </dataValidation>
    <dataValidation type="whole" operator="lessThanOrEqual" allowBlank="1" showErrorMessage="1" errorTitle="Mensagem de Erro" error="F não pode ser Superior a MF" sqref="R288">
      <formula1>Q288</formula1>
    </dataValidation>
    <dataValidation type="whole" operator="lessThanOrEqual" allowBlank="1" showErrorMessage="1" errorTitle="Mensagem de Erro" error="F não pode ser Superior a MF" sqref="R290">
      <formula1>Q290</formula1>
    </dataValidation>
    <dataValidation type="whole" operator="lessThanOrEqual" allowBlank="1" showErrorMessage="1" errorTitle="Mensagem de Erro" error="F não pode ser Superior a MF" sqref="R291">
      <formula1>Q291</formula1>
    </dataValidation>
    <dataValidation type="whole" operator="lessThanOrEqual" allowBlank="1" showErrorMessage="1" errorTitle="Mensagem de Erro" error="F não pode ser Superior a MF" sqref="R292">
      <formula1>Q292</formula1>
    </dataValidation>
    <dataValidation type="whole" operator="lessThanOrEqual" allowBlank="1" showErrorMessage="1" errorTitle="Mensagem de Erro" error="F não pode ser Superior a MF" sqref="R293">
      <formula1>Q293</formula1>
    </dataValidation>
    <dataValidation type="whole" operator="lessThanOrEqual" allowBlank="1" showErrorMessage="1" errorTitle="Mensagem de Erro" error="F não pode ser Superior a MF" sqref="R306">
      <formula1>Q306</formula1>
    </dataValidation>
    <dataValidation type="whole" operator="lessThanOrEqual" allowBlank="1" showErrorMessage="1" errorTitle="Mensagem de Erro" error="F não pode ser Superior a MF" sqref="R307">
      <formula1>Q307</formula1>
    </dataValidation>
    <dataValidation type="whole" operator="lessThanOrEqual" allowBlank="1" showErrorMessage="1" errorTitle="Mensagem de Erro" error="F não pode ser Superior a MF" sqref="R308">
      <formula1>Q308</formula1>
    </dataValidation>
    <dataValidation type="whole" operator="lessThanOrEqual" allowBlank="1" showErrorMessage="1" errorTitle="Mensagem de Erro" error="F não pode ser Superior a MF" sqref="R309">
      <formula1>Q309</formula1>
    </dataValidation>
    <dataValidation type="whole" operator="lessThanOrEqual" allowBlank="1" showErrorMessage="1" errorTitle="Mensagem de Erro" error="F não pode ser Superior a MF" sqref="R311">
      <formula1>Q311</formula1>
    </dataValidation>
    <dataValidation type="whole" operator="lessThanOrEqual" allowBlank="1" showErrorMessage="1" errorTitle="Mensagem de Erro" error="F não pode ser Superior a MF" sqref="R312">
      <formula1>Q312</formula1>
    </dataValidation>
    <dataValidation type="whole" operator="lessThanOrEqual" allowBlank="1" showErrorMessage="1" errorTitle="Mensagem de Erro" error="F não pode ser Superior a MF" sqref="R313">
      <formula1>Q313</formula1>
    </dataValidation>
    <dataValidation type="whole" operator="lessThanOrEqual" allowBlank="1" showErrorMessage="1" errorTitle="Mensagem de Erro" error="F não pode ser Superior a MF" sqref="R314">
      <formula1>Q314</formula1>
    </dataValidation>
    <dataValidation type="whole" operator="lessThanOrEqual" allowBlank="1" showErrorMessage="1" errorTitle="Mensagem de Erro" error="F não pode ser Superior a MF" sqref="R316">
      <formula1>Q316</formula1>
    </dataValidation>
    <dataValidation type="whole" operator="lessThanOrEqual" allowBlank="1" showErrorMessage="1" errorTitle="Mensagem de Erro" error="F não pode ser Superior a MF" sqref="R317">
      <formula1>Q317</formula1>
    </dataValidation>
    <dataValidation type="whole" operator="lessThanOrEqual" allowBlank="1" showErrorMessage="1" errorTitle="Mensagem de Erro" error="F não pode ser Superior a MF" sqref="R318">
      <formula1>Q318</formula1>
    </dataValidation>
    <dataValidation type="whole" operator="lessThanOrEqual" allowBlank="1" showErrorMessage="1" errorTitle="Mensagem de Erro" error="F não pode ser Superior a MF" sqref="R319">
      <formula1>Q319</formula1>
    </dataValidation>
    <dataValidation type="whole" operator="lessThanOrEqual" allowBlank="1" showErrorMessage="1" errorTitle="Mensagem de Erro" error="F não pode ser Superior a MF" sqref="R37">
      <formula1>Q37</formula1>
    </dataValidation>
    <dataValidation type="whole" operator="lessThanOrEqual" allowBlank="1" showErrorMessage="1" errorTitle="Mensagem de Erro" error="F não pode ser Superior a MF" sqref="R38">
      <formula1>Q38</formula1>
    </dataValidation>
    <dataValidation type="whole" operator="lessThanOrEqual" allowBlank="1" showErrorMessage="1" errorTitle="Mensagem de Erro" error="F não pode ser Superior a MF" sqref="R39">
      <formula1>Q39</formula1>
    </dataValidation>
    <dataValidation type="whole" operator="lessThanOrEqual" allowBlank="1" showErrorMessage="1" errorTitle="Mensagem de Erro" error="F não pode ser Superior a MF" sqref="R46">
      <formula1>Q46</formula1>
    </dataValidation>
    <dataValidation type="whole" operator="lessThanOrEqual" allowBlank="1" showErrorMessage="1" errorTitle="Mensagem de Erro" error="F não pode ser Superior a MF" sqref="R47">
      <formula1>Q47</formula1>
    </dataValidation>
    <dataValidation type="whole" operator="lessThanOrEqual" allowBlank="1" showErrorMessage="1" errorTitle="Mensagem de Erro" error="F não pode ser Superior a MF" sqref="R48">
      <formula1>Q48</formula1>
    </dataValidation>
    <dataValidation type="whole" operator="lessThanOrEqual" allowBlank="1" showErrorMessage="1" errorTitle="Mensagem de Erro" error="F não pode ser Superior a MF" sqref="R96">
      <formula1>Q96</formula1>
    </dataValidation>
    <dataValidation type="whole" operator="lessThanOrEqual" allowBlank="1" showErrorMessage="1" errorTitle="Mensagem de Erro" error="F não pode ser Superior a MF" sqref="R97">
      <formula1>Q97</formula1>
    </dataValidation>
    <dataValidation type="whole" operator="lessThanOrEqual" allowBlank="1" showErrorMessage="1" errorTitle="Mensagem de Erro" error="F não pode ser Superior a MF" sqref="R98">
      <formula1>Q98</formula1>
    </dataValidation>
    <dataValidation type="whole" operator="lessThanOrEqual" allowBlank="1" showErrorMessage="1" errorTitle="Mensagem de Erro" error="F não pode ser Superior a MF" sqref="R99">
      <formula1>Q99</formula1>
    </dataValidation>
    <dataValidation type="whole" operator="lessThanOrEqual" allowBlank="1" showErrorMessage="1" errorTitle="Mensagem de Erro" error="F não pode ser Superior a MF" sqref="S62">
      <formula1>R62</formula1>
    </dataValidation>
    <dataValidation type="whole" operator="lessThanOrEqual" allowBlank="1" showErrorMessage="1" errorTitle="Mensagem de Erro" error="F não pode ser Superior a MF" sqref="S63">
      <formula1>R63</formula1>
    </dataValidation>
    <dataValidation type="whole" operator="lessThanOrEqual" allowBlank="1" showErrorMessage="1" errorTitle="Mensagem de Erro" error="F não pode ser Superior a MF" sqref="S64">
      <formula1>R64</formula1>
    </dataValidation>
    <dataValidation type="whole" operator="lessThanOrEqual" allowBlank="1" showErrorMessage="1" errorTitle="Mensagem de Erro" error="F não pode ser Superior a MF" sqref="S65">
      <formula1>R65</formula1>
    </dataValidation>
    <dataValidation type="whole" operator="lessThanOrEqual" allowBlank="1" showErrorMessage="1" errorTitle="Mensagem de Erro" error="F não pode ser Superior a MF" sqref="S66">
      <formula1>R66</formula1>
    </dataValidation>
    <dataValidation type="whole" operator="lessThanOrEqual" allowBlank="1" showErrorMessage="1" errorTitle="Mensagem de Erro" error="F não pode ser Superior a MF" sqref="S67">
      <formula1>R67</formula1>
    </dataValidation>
    <dataValidation type="whole" operator="lessThanOrEqual" allowBlank="1" showErrorMessage="1" errorTitle="Mensagem de Erro" error="F não pode ser Superior a MF" sqref="S69">
      <formula1>R69</formula1>
    </dataValidation>
    <dataValidation type="whole" operator="lessThanOrEqual" allowBlank="1" showErrorMessage="1" errorTitle="Mensagem de Erro" error="F não pode ser Superior a MF" sqref="S70">
      <formula1>R70</formula1>
    </dataValidation>
    <dataValidation type="whole" operator="lessThanOrEqual" allowBlank="1" showErrorMessage="1" errorTitle="Mensagem de Erro" error="F não pode ser Superior a MF" sqref="S71">
      <formula1>R71</formula1>
    </dataValidation>
    <dataValidation type="whole" operator="lessThanOrEqual" allowBlank="1" showErrorMessage="1" errorTitle="Mensagem de Erro" error="F não pode ser Superior a MF" sqref="S72">
      <formula1>R72</formula1>
    </dataValidation>
    <dataValidation type="whole" operator="lessThanOrEqual" allowBlank="1" showErrorMessage="1" errorTitle="Mensagem de Erro" error="F não pode ser Superior a MF" sqref="S73">
      <formula1>R73</formula1>
    </dataValidation>
    <dataValidation type="whole" operator="lessThanOrEqual" allowBlank="1" showErrorMessage="1" errorTitle="Mensagem de Erro" error="F não pode ser Superior a MF" sqref="S74">
      <formula1>R74</formula1>
    </dataValidation>
    <dataValidation type="whole" operator="lessThanOrEqual" allowBlank="1" showErrorMessage="1" errorTitle="Mensagem de Erro" error="F não pode ser Superior a MF" sqref="S76">
      <formula1>R76</formula1>
    </dataValidation>
    <dataValidation type="whole" operator="lessThanOrEqual" allowBlank="1" showErrorMessage="1" errorTitle="Mensagem de Erro" error="F não pode ser Superior a MF" sqref="S77">
      <formula1>R77</formula1>
    </dataValidation>
    <dataValidation type="whole" operator="lessThanOrEqual" allowBlank="1" showErrorMessage="1" errorTitle="Mensagem de Erro" error="F não pode ser Superior a MF" sqref="S78">
      <formula1>R78</formula1>
    </dataValidation>
    <dataValidation type="whole" operator="lessThanOrEqual" allowBlank="1" showErrorMessage="1" errorTitle="Mensagem de Erro" error="F não pode ser Superior a MF" sqref="S79">
      <formula1>R79</formula1>
    </dataValidation>
    <dataValidation type="whole" operator="lessThanOrEqual" allowBlank="1" showErrorMessage="1" errorTitle="Mensagem de Erro" error="F não pode ser Superior a MF" sqref="S80">
      <formula1>R80</formula1>
    </dataValidation>
    <dataValidation type="whole" operator="lessThanOrEqual" allowBlank="1" showErrorMessage="1" errorTitle="Mensagem de Erro" error="F não pode ser Superior a MF" sqref="S81">
      <formula1>R81</formula1>
    </dataValidation>
    <dataValidation type="whole" operator="lessThanOrEqual" allowBlank="1" showErrorMessage="1" errorTitle="Mensagem de Erro" error="F não pode ser Superior a MF" sqref="T100">
      <formula1>S100</formula1>
    </dataValidation>
    <dataValidation type="whole" operator="lessThanOrEqual" allowBlank="1" showErrorMessage="1" errorTitle="Mensagem de Erro" error="F não pode ser Superior a MF" sqref="T101">
      <formula1>S101</formula1>
    </dataValidation>
    <dataValidation type="whole" operator="lessThanOrEqual" allowBlank="1" showErrorMessage="1" errorTitle="Mensagem de Erro" error="F não pode ser Superior a MF" sqref="T113">
      <formula1>S113</formula1>
    </dataValidation>
    <dataValidation type="whole" operator="lessThanOrEqual" allowBlank="1" showErrorMessage="1" errorTitle="Mensagem de Erro" error="F não pode ser Superior a MF" sqref="T114">
      <formula1>S114</formula1>
    </dataValidation>
    <dataValidation type="whole" operator="lessThanOrEqual" allowBlank="1" showErrorMessage="1" errorTitle="Mensagem de Erro" error="F não pode ser Superior a MF" sqref="T115">
      <formula1>S115</formula1>
    </dataValidation>
    <dataValidation type="whole" operator="lessThanOrEqual" allowBlank="1" showErrorMessage="1" errorTitle="Mensagem de Erro" error="F não pode ser Superior a MF" sqref="T117">
      <formula1>S117</formula1>
    </dataValidation>
    <dataValidation type="whole" operator="lessThanOrEqual" allowBlank="1" showErrorMessage="1" errorTitle="Mensagem de Erro" error="F não pode ser Superior a MF" sqref="T118">
      <formula1>S118</formula1>
    </dataValidation>
    <dataValidation type="whole" operator="lessThanOrEqual" allowBlank="1" showErrorMessage="1" errorTitle="Mensagem de Erro" error="F não pode ser Superior a MF" sqref="T119">
      <formula1>S119</formula1>
    </dataValidation>
    <dataValidation type="whole" operator="lessThanOrEqual" allowBlank="1" showErrorMessage="1" errorTitle="Mensagem de Erro" error="F não pode ser Superior a MF" sqref="T121">
      <formula1>S121</formula1>
    </dataValidation>
    <dataValidation type="whole" operator="lessThanOrEqual" allowBlank="1" showErrorMessage="1" errorTitle="Mensagem de Erro" error="F não pode ser Superior a MF" sqref="T122">
      <formula1>S122</formula1>
    </dataValidation>
    <dataValidation type="whole" operator="lessThanOrEqual" allowBlank="1" showErrorMessage="1" errorTitle="Mensagem de Erro" error="F não pode ser Superior a MF" sqref="T123">
      <formula1>S123</formula1>
    </dataValidation>
    <dataValidation type="whole" operator="lessThanOrEqual" allowBlank="1" showErrorMessage="1" errorTitle="Mensagem de Erro" error="F não pode ser Superior a MF" sqref="T137">
      <formula1>S137</formula1>
    </dataValidation>
    <dataValidation type="whole" operator="lessThanOrEqual" allowBlank="1" showErrorMessage="1" errorTitle="Mensagem de Erro" error="F não pode ser Superior a MF" sqref="T138">
      <formula1>S138</formula1>
    </dataValidation>
    <dataValidation type="whole" operator="lessThanOrEqual" allowBlank="1" showErrorMessage="1" errorTitle="Mensagem de Erro" error="F não pode ser Superior a MF" sqref="T139">
      <formula1>S139</formula1>
    </dataValidation>
    <dataValidation type="whole" operator="lessThanOrEqual" allowBlank="1" showErrorMessage="1" errorTitle="Mensagem de Erro" error="F não pode ser Superior a MF" sqref="T141">
      <formula1>S141</formula1>
    </dataValidation>
    <dataValidation type="whole" operator="lessThanOrEqual" allowBlank="1" showErrorMessage="1" errorTitle="Mensagem de Erro" error="F não pode ser Superior a MF" sqref="T142">
      <formula1>S142</formula1>
    </dataValidation>
    <dataValidation type="whole" operator="lessThanOrEqual" allowBlank="1" showErrorMessage="1" errorTitle="Mensagem de Erro" error="F não pode ser Superior a MF" sqref="T143">
      <formula1>S143</formula1>
    </dataValidation>
    <dataValidation type="whole" operator="lessThanOrEqual" allowBlank="1" showErrorMessage="1" errorTitle="Mensagem de Erro" error="F não pode ser Superior a MF" sqref="T145">
      <formula1>S145</formula1>
    </dataValidation>
    <dataValidation type="whole" operator="lessThanOrEqual" allowBlank="1" showErrorMessage="1" errorTitle="Mensagem de Erro" error="F não pode ser Superior a MF" sqref="T146">
      <formula1>S146</formula1>
    </dataValidation>
    <dataValidation type="whole" operator="lessThanOrEqual" allowBlank="1" showErrorMessage="1" errorTitle="Mensagem de Erro" error="F não pode ser Superior a MF" sqref="T147">
      <formula1>S147</formula1>
    </dataValidation>
    <dataValidation type="whole" operator="lessThanOrEqual" allowBlank="1" showErrorMessage="1" errorTitle="Mensagem de Erro" error="F não pode ser Superior a MF" sqref="T163">
      <formula1>S163</formula1>
    </dataValidation>
    <dataValidation type="whole" operator="lessThanOrEqual" allowBlank="1" showErrorMessage="1" errorTitle="Mensagem de Erro" error="F não pode ser Superior a MF" sqref="T164">
      <formula1>S164</formula1>
    </dataValidation>
    <dataValidation type="whole" operator="lessThanOrEqual" allowBlank="1" showErrorMessage="1" errorTitle="Mensagem de Erro" error="F não pode ser Superior a MF" sqref="T165">
      <formula1>S165</formula1>
    </dataValidation>
    <dataValidation type="whole" operator="lessThanOrEqual" allowBlank="1" showErrorMessage="1" errorTitle="Mensagem de Erro" error="F não pode ser Superior a MF" sqref="T167">
      <formula1>S167</formula1>
    </dataValidation>
    <dataValidation type="whole" operator="lessThanOrEqual" allowBlank="1" showErrorMessage="1" errorTitle="Mensagem de Erro" error="F não pode ser Superior a MF" sqref="T168">
      <formula1>S168</formula1>
    </dataValidation>
    <dataValidation type="whole" operator="lessThanOrEqual" allowBlank="1" showErrorMessage="1" errorTitle="Mensagem de Erro" error="F não pode ser Superior a MF" sqref="T169">
      <formula1>S169</formula1>
    </dataValidation>
    <dataValidation type="whole" operator="lessThanOrEqual" allowBlank="1" showErrorMessage="1" errorTitle="Mensagem de Erro" error="F não pode ser Superior a MF" sqref="T171">
      <formula1>S171</formula1>
    </dataValidation>
    <dataValidation type="whole" operator="lessThanOrEqual" allowBlank="1" showErrorMessage="1" errorTitle="Mensagem de Erro" error="F não pode ser Superior a MF" sqref="T172">
      <formula1>S172</formula1>
    </dataValidation>
    <dataValidation type="whole" operator="lessThanOrEqual" allowBlank="1" showErrorMessage="1" errorTitle="Mensagem de Erro" error="F não pode ser Superior a MF" sqref="T173">
      <formula1>S173</formula1>
    </dataValidation>
    <dataValidation type="whole" operator="lessThanOrEqual" allowBlank="1" showErrorMessage="1" errorTitle="Mensagem de Erro" error="F não pode ser Superior a MF" sqref="T185">
      <formula1>S185</formula1>
    </dataValidation>
    <dataValidation type="whole" operator="lessThanOrEqual" allowBlank="1" showErrorMessage="1" errorTitle="Mensagem de Erro" error="F não pode ser Superior a MF" sqref="T186">
      <formula1>S186</formula1>
    </dataValidation>
    <dataValidation type="whole" operator="lessThanOrEqual" allowBlank="1" showErrorMessage="1" errorTitle="Mensagem de Erro" error="F não pode ser Superior a MF" sqref="T187">
      <formula1>S187</formula1>
    </dataValidation>
    <dataValidation type="whole" operator="lessThanOrEqual" allowBlank="1" showErrorMessage="1" errorTitle="Mensagem de Erro" error="F não pode ser Superior a MF" sqref="T199">
      <formula1>S199</formula1>
    </dataValidation>
    <dataValidation type="whole" operator="lessThanOrEqual" allowBlank="1" showErrorMessage="1" errorTitle="Mensagem de Erro" error="F não pode ser Superior a MF" sqref="T200">
      <formula1>S200</formula1>
    </dataValidation>
    <dataValidation type="whole" operator="lessThanOrEqual" allowBlank="1" showErrorMessage="1" errorTitle="Mensagem de Erro" error="F não pode ser Superior a MF" sqref="T201">
      <formula1>S201</formula1>
    </dataValidation>
    <dataValidation type="whole" operator="lessThanOrEqual" allowBlank="1" showErrorMessage="1" errorTitle="Mensagem de Erro" error="F não pode ser Superior a MF" sqref="T203">
      <formula1>S203</formula1>
    </dataValidation>
    <dataValidation type="whole" operator="lessThanOrEqual" allowBlank="1" showErrorMessage="1" errorTitle="Mensagem de Erro" error="F não pode ser Superior a MF" sqref="T204">
      <formula1>S204</formula1>
    </dataValidation>
    <dataValidation type="whole" operator="lessThanOrEqual" allowBlank="1" showErrorMessage="1" errorTitle="Mensagem de Erro" error="F não pode ser Superior a MF" sqref="T205">
      <formula1>S205</formula1>
    </dataValidation>
    <dataValidation type="whole" operator="lessThanOrEqual" allowBlank="1" showErrorMessage="1" errorTitle="Mensagem de Erro" error="F não pode ser Superior a MF" sqref="T207">
      <formula1>S207</formula1>
    </dataValidation>
    <dataValidation type="whole" operator="lessThanOrEqual" allowBlank="1" showErrorMessage="1" errorTitle="Mensagem de Erro" error="F não pode ser Superior a MF" sqref="T208">
      <formula1>S208</formula1>
    </dataValidation>
    <dataValidation type="whole" operator="lessThanOrEqual" allowBlank="1" showErrorMessage="1" errorTitle="Mensagem de Erro" error="F não pode ser Superior a MF" sqref="T209">
      <formula1>S209</formula1>
    </dataValidation>
    <dataValidation type="whole" operator="lessThanOrEqual" allowBlank="1" showErrorMessage="1" errorTitle="Mensagem de Erro" error="F não pode ser Superior a MF" sqref="T223">
      <formula1>S223</formula1>
    </dataValidation>
    <dataValidation type="whole" operator="lessThanOrEqual" allowBlank="1" showErrorMessage="1" errorTitle="Mensagem de Erro" error="F não pode ser Superior a MF" sqref="T224">
      <formula1>S224</formula1>
    </dataValidation>
    <dataValidation type="whole" operator="lessThanOrEqual" allowBlank="1" showErrorMessage="1" errorTitle="Mensagem de Erro" error="F não pode ser Superior a MF" sqref="T226">
      <formula1>S226</formula1>
    </dataValidation>
    <dataValidation type="whole" operator="lessThanOrEqual" allowBlank="1" showErrorMessage="1" errorTitle="Mensagem de Erro" error="F não pode ser Superior a MF" sqref="T227">
      <formula1>S227</formula1>
    </dataValidation>
    <dataValidation type="whole" operator="lessThanOrEqual" allowBlank="1" showErrorMessage="1" errorTitle="Mensagem de Erro" error="F não pode ser Superior a MF" sqref="T229">
      <formula1>S229</formula1>
    </dataValidation>
    <dataValidation type="whole" operator="lessThanOrEqual" allowBlank="1" showErrorMessage="1" errorTitle="Mensagem de Erro" error="F não pode ser Superior a MF" sqref="T230">
      <formula1>S230</formula1>
    </dataValidation>
    <dataValidation type="whole" operator="lessThanOrEqual" allowBlank="1" showErrorMessage="1" errorTitle="Mensagem de Erro" error="F não pode ser Superior a MF" sqref="T245">
      <formula1>S245</formula1>
    </dataValidation>
    <dataValidation type="whole" operator="lessThanOrEqual" allowBlank="1" showErrorMessage="1" errorTitle="Mensagem de Erro" error="F não pode ser Superior a MF" sqref="T246">
      <formula1>S246</formula1>
    </dataValidation>
    <dataValidation type="whole" operator="lessThanOrEqual" allowBlank="1" showErrorMessage="1" errorTitle="Mensagem de Erro" error="F não pode ser Superior a MF" sqref="T247">
      <formula1>S247</formula1>
    </dataValidation>
    <dataValidation type="whole" operator="lessThanOrEqual" allowBlank="1" showErrorMessage="1" errorTitle="Mensagem de Erro" error="F não pode ser Superior a MF" sqref="T249">
      <formula1>S249</formula1>
    </dataValidation>
    <dataValidation type="whole" operator="lessThanOrEqual" allowBlank="1" showErrorMessage="1" errorTitle="Mensagem de Erro" error="F não pode ser Superior a MF" sqref="T250">
      <formula1>S250</formula1>
    </dataValidation>
    <dataValidation type="whole" operator="lessThanOrEqual" allowBlank="1" showErrorMessage="1" errorTitle="Mensagem de Erro" error="F não pode ser Superior a MF" sqref="T251">
      <formula1>S251</formula1>
    </dataValidation>
    <dataValidation type="whole" operator="lessThanOrEqual" allowBlank="1" showErrorMessage="1" errorTitle="Mensagem de Erro" error="F não pode ser Superior a MF" sqref="T253">
      <formula1>S253</formula1>
    </dataValidation>
    <dataValidation type="whole" operator="lessThanOrEqual" allowBlank="1" showErrorMessage="1" errorTitle="Mensagem de Erro" error="F não pode ser Superior a MF" sqref="T254">
      <formula1>S254</formula1>
    </dataValidation>
    <dataValidation type="whole" operator="lessThanOrEqual" allowBlank="1" showErrorMessage="1" errorTitle="Mensagem de Erro" error="F não pode ser Superior a MF" sqref="T255">
      <formula1>S255</formula1>
    </dataValidation>
    <dataValidation type="whole" operator="lessThanOrEqual" allowBlank="1" showErrorMessage="1" errorTitle="Mensagem de Erro" error="F não pode ser Superior a MF" sqref="T267">
      <formula1>S267</formula1>
    </dataValidation>
    <dataValidation type="whole" operator="lessThanOrEqual" allowBlank="1" showErrorMessage="1" errorTitle="Mensagem de Erro" error="F não pode ser Superior a MF" sqref="T268">
      <formula1>S268</formula1>
    </dataValidation>
    <dataValidation type="whole" operator="lessThanOrEqual" allowBlank="1" showErrorMessage="1" errorTitle="Mensagem de Erro" error="F não pode ser Superior a MF" sqref="T269">
      <formula1>S269</formula1>
    </dataValidation>
    <dataValidation type="whole" operator="lessThanOrEqual" allowBlank="1" showErrorMessage="1" errorTitle="Mensagem de Erro" error="F não pode ser Superior a MF" sqref="T270">
      <formula1>S270</formula1>
    </dataValidation>
    <dataValidation type="whole" operator="lessThanOrEqual" allowBlank="1" showErrorMessage="1" errorTitle="Mensagem de Erro" error="F não pode ser Superior a MF" sqref="T280">
      <formula1>S280</formula1>
    </dataValidation>
    <dataValidation type="whole" operator="lessThanOrEqual" allowBlank="1" showErrorMessage="1" errorTitle="Mensagem de Erro" error="F não pode ser Superior a MF" sqref="T281">
      <formula1>S281</formula1>
    </dataValidation>
    <dataValidation type="whole" operator="lessThanOrEqual" allowBlank="1" showErrorMessage="1" errorTitle="Mensagem de Erro" error="F não pode ser Superior a MF" sqref="T282">
      <formula1>S282</formula1>
    </dataValidation>
    <dataValidation type="whole" operator="lessThanOrEqual" allowBlank="1" showErrorMessage="1" errorTitle="Mensagem de Erro" error="F não pode ser Superior a MF" sqref="T283">
      <formula1>S283</formula1>
    </dataValidation>
    <dataValidation type="whole" operator="lessThanOrEqual" allowBlank="1" showErrorMessage="1" errorTitle="Mensagem de Erro" error="F não pode ser Superior a MF" sqref="T285">
      <formula1>S285</formula1>
    </dataValidation>
    <dataValidation type="whole" operator="lessThanOrEqual" allowBlank="1" showErrorMessage="1" errorTitle="Mensagem de Erro" error="F não pode ser Superior a MF" sqref="T286">
      <formula1>S286</formula1>
    </dataValidation>
    <dataValidation type="whole" operator="lessThanOrEqual" allowBlank="1" showErrorMessage="1" errorTitle="Mensagem de Erro" error="F não pode ser Superior a MF" sqref="T287">
      <formula1>S287</formula1>
    </dataValidation>
    <dataValidation type="whole" operator="lessThanOrEqual" allowBlank="1" showErrorMessage="1" errorTitle="Mensagem de Erro" error="F não pode ser Superior a MF" sqref="T288">
      <formula1>S288</formula1>
    </dataValidation>
    <dataValidation type="whole" operator="lessThanOrEqual" allowBlank="1" showErrorMessage="1" errorTitle="Mensagem de Erro" error="F não pode ser Superior a MF" sqref="T290">
      <formula1>S290</formula1>
    </dataValidation>
    <dataValidation type="whole" operator="lessThanOrEqual" allowBlank="1" showErrorMessage="1" errorTitle="Mensagem de Erro" error="F não pode ser Superior a MF" sqref="T291">
      <formula1>S291</formula1>
    </dataValidation>
    <dataValidation type="whole" operator="lessThanOrEqual" allowBlank="1" showErrorMessage="1" errorTitle="Mensagem de Erro" error="F não pode ser Superior a MF" sqref="T292">
      <formula1>S292</formula1>
    </dataValidation>
    <dataValidation type="whole" operator="lessThanOrEqual" allowBlank="1" showErrorMessage="1" errorTitle="Mensagem de Erro" error="F não pode ser Superior a MF" sqref="T293">
      <formula1>S293</formula1>
    </dataValidation>
    <dataValidation type="whole" operator="lessThanOrEqual" allowBlank="1" showErrorMessage="1" errorTitle="Mensagem de Erro" error="F não pode ser Superior a MF" sqref="T306">
      <formula1>S306</formula1>
    </dataValidation>
    <dataValidation type="whole" operator="lessThanOrEqual" allowBlank="1" showErrorMessage="1" errorTitle="Mensagem de Erro" error="F não pode ser Superior a MF" sqref="T307">
      <formula1>S307</formula1>
    </dataValidation>
    <dataValidation type="whole" operator="lessThanOrEqual" allowBlank="1" showErrorMessage="1" errorTitle="Mensagem de Erro" error="F não pode ser Superior a MF" sqref="T308">
      <formula1>S308</formula1>
    </dataValidation>
    <dataValidation type="whole" operator="lessThanOrEqual" allowBlank="1" showErrorMessage="1" errorTitle="Mensagem de Erro" error="F não pode ser Superior a MF" sqref="T309">
      <formula1>S309</formula1>
    </dataValidation>
    <dataValidation type="whole" operator="lessThanOrEqual" allowBlank="1" showErrorMessage="1" errorTitle="Mensagem de Erro" error="F não pode ser Superior a MF" sqref="T311">
      <formula1>S311</formula1>
    </dataValidation>
    <dataValidation type="whole" operator="lessThanOrEqual" allowBlank="1" showErrorMessage="1" errorTitle="Mensagem de Erro" error="F não pode ser Superior a MF" sqref="T312">
      <formula1>S312</formula1>
    </dataValidation>
    <dataValidation type="whole" operator="lessThanOrEqual" allowBlank="1" showErrorMessage="1" errorTitle="Mensagem de Erro" error="F não pode ser Superior a MF" sqref="T313">
      <formula1>S313</formula1>
    </dataValidation>
    <dataValidation type="whole" operator="lessThanOrEqual" allowBlank="1" showErrorMessage="1" errorTitle="Mensagem de Erro" error="F não pode ser Superior a MF" sqref="T314">
      <formula1>S314</formula1>
    </dataValidation>
    <dataValidation type="whole" operator="lessThanOrEqual" allowBlank="1" showErrorMessage="1" errorTitle="Mensagem de Erro" error="F não pode ser Superior a MF" sqref="T316">
      <formula1>S316</formula1>
    </dataValidation>
    <dataValidation type="whole" operator="lessThanOrEqual" allowBlank="1" showErrorMessage="1" errorTitle="Mensagem de Erro" error="F não pode ser Superior a MF" sqref="T317">
      <formula1>S317</formula1>
    </dataValidation>
    <dataValidation type="whole" operator="lessThanOrEqual" allowBlank="1" showErrorMessage="1" errorTitle="Mensagem de Erro" error="F não pode ser Superior a MF" sqref="T318">
      <formula1>S318</formula1>
    </dataValidation>
    <dataValidation type="whole" operator="lessThanOrEqual" allowBlank="1" showErrorMessage="1" errorTitle="Mensagem de Erro" error="F não pode ser Superior a MF" sqref="T319">
      <formula1>S319</formula1>
    </dataValidation>
    <dataValidation type="whole" operator="lessThanOrEqual" allowBlank="1" showErrorMessage="1" errorTitle="Mensagem de Erro" error="F não pode ser Superior a MF" sqref="T37">
      <formula1>S37</formula1>
    </dataValidation>
    <dataValidation type="whole" operator="lessThanOrEqual" allowBlank="1" showErrorMessage="1" errorTitle="Mensagem de Erro" error="F não pode ser Superior a MF" sqref="T38">
      <formula1>S38</formula1>
    </dataValidation>
    <dataValidation type="whole" operator="lessThanOrEqual" allowBlank="1" showErrorMessage="1" errorTitle="Mensagem de Erro" error="F não pode ser Superior a MF" sqref="T39">
      <formula1>S39</formula1>
    </dataValidation>
    <dataValidation type="whole" operator="lessThanOrEqual" allowBlank="1" showErrorMessage="1" errorTitle="Mensagem de Erro" error="F não pode ser Superior a MF" sqref="T46">
      <formula1>S46</formula1>
    </dataValidation>
    <dataValidation type="whole" operator="lessThanOrEqual" allowBlank="1" showErrorMessage="1" errorTitle="Mensagem de Erro" error="F não pode ser Superior a MF" sqref="T47">
      <formula1>S47</formula1>
    </dataValidation>
    <dataValidation type="whole" operator="lessThanOrEqual" allowBlank="1" showErrorMessage="1" errorTitle="Mensagem de Erro" error="F não pode ser Superior a MF" sqref="T48">
      <formula1>S48</formula1>
    </dataValidation>
    <dataValidation type="whole" operator="lessThanOrEqual" allowBlank="1" showErrorMessage="1" errorTitle="Mensagem de Erro" error="F não pode ser Superior a MF" sqref="T96">
      <formula1>S96</formula1>
    </dataValidation>
    <dataValidation type="whole" operator="lessThanOrEqual" allowBlank="1" showErrorMessage="1" errorTitle="Mensagem de Erro" error="F não pode ser Superior a MF" sqref="T97">
      <formula1>S97</formula1>
    </dataValidation>
    <dataValidation type="whole" operator="lessThanOrEqual" allowBlank="1" showErrorMessage="1" errorTitle="Mensagem de Erro" error="F não pode ser Superior a MF" sqref="T98">
      <formula1>S98</formula1>
    </dataValidation>
    <dataValidation type="whole" operator="lessThanOrEqual" allowBlank="1" showErrorMessage="1" errorTitle="Mensagem de Erro" error="F não pode ser Superior a MF" sqref="T99">
      <formula1>S99</formula1>
    </dataValidation>
    <dataValidation type="whole" operator="lessThanOrEqual" allowBlank="1" showErrorMessage="1" errorTitle="Mensagem de Erro" error="F não pode ser Superior a MF" sqref="U62">
      <formula1>T62</formula1>
    </dataValidation>
    <dataValidation type="whole" operator="lessThanOrEqual" allowBlank="1" showErrorMessage="1" errorTitle="Mensagem de Erro" error="F não pode ser Superior a MF" sqref="U63">
      <formula1>T63</formula1>
    </dataValidation>
    <dataValidation type="whole" operator="lessThanOrEqual" allowBlank="1" showErrorMessage="1" errorTitle="Mensagem de Erro" error="F não pode ser Superior a MF" sqref="U64">
      <formula1>T64</formula1>
    </dataValidation>
    <dataValidation type="whole" operator="lessThanOrEqual" allowBlank="1" showErrorMessage="1" errorTitle="Mensagem de Erro" error="F não pode ser Superior a MF" sqref="U65">
      <formula1>T65</formula1>
    </dataValidation>
    <dataValidation type="whole" operator="lessThanOrEqual" allowBlank="1" showErrorMessage="1" errorTitle="Mensagem de Erro" error="F não pode ser Superior a MF" sqref="U66">
      <formula1>T66</formula1>
    </dataValidation>
    <dataValidation type="whole" operator="lessThanOrEqual" allowBlank="1" showErrorMessage="1" errorTitle="Mensagem de Erro" error="F não pode ser Superior a MF" sqref="U67">
      <formula1>T67</formula1>
    </dataValidation>
    <dataValidation type="whole" operator="lessThanOrEqual" allowBlank="1" showErrorMessage="1" errorTitle="Mensagem de Erro" error="F não pode ser Superior a MF" sqref="U69">
      <formula1>T69</formula1>
    </dataValidation>
    <dataValidation type="whole" operator="lessThanOrEqual" allowBlank="1" showErrorMessage="1" errorTitle="Mensagem de Erro" error="F não pode ser Superior a MF" sqref="U70">
      <formula1>T70</formula1>
    </dataValidation>
    <dataValidation type="whole" operator="lessThanOrEqual" allowBlank="1" showErrorMessage="1" errorTitle="Mensagem de Erro" error="F não pode ser Superior a MF" sqref="U71">
      <formula1>T71</formula1>
    </dataValidation>
    <dataValidation type="whole" operator="lessThanOrEqual" allowBlank="1" showErrorMessage="1" errorTitle="Mensagem de Erro" error="F não pode ser Superior a MF" sqref="U72">
      <formula1>T72</formula1>
    </dataValidation>
    <dataValidation type="whole" operator="lessThanOrEqual" allowBlank="1" showErrorMessage="1" errorTitle="Mensagem de Erro" error="F não pode ser Superior a MF" sqref="U73">
      <formula1>T73</formula1>
    </dataValidation>
    <dataValidation type="whole" operator="lessThanOrEqual" allowBlank="1" showErrorMessage="1" errorTitle="Mensagem de Erro" error="F não pode ser Superior a MF" sqref="U74">
      <formula1>T74</formula1>
    </dataValidation>
    <dataValidation type="whole" operator="lessThanOrEqual" allowBlank="1" showErrorMessage="1" errorTitle="Mensagem de Erro" error="F não pode ser Superior a MF" sqref="U76">
      <formula1>T76</formula1>
    </dataValidation>
    <dataValidation type="whole" operator="lessThanOrEqual" allowBlank="1" showErrorMessage="1" errorTitle="Mensagem de Erro" error="F não pode ser Superior a MF" sqref="U77">
      <formula1>T77</formula1>
    </dataValidation>
    <dataValidation type="whole" operator="lessThanOrEqual" allowBlank="1" showErrorMessage="1" errorTitle="Mensagem de Erro" error="F não pode ser Superior a MF" sqref="U78">
      <formula1>T78</formula1>
    </dataValidation>
    <dataValidation type="whole" operator="lessThanOrEqual" allowBlank="1" showErrorMessage="1" errorTitle="Mensagem de Erro" error="F não pode ser Superior a MF" sqref="U79">
      <formula1>T79</formula1>
    </dataValidation>
    <dataValidation type="whole" operator="lessThanOrEqual" allowBlank="1" showErrorMessage="1" errorTitle="Mensagem de Erro" error="F não pode ser Superior a MF" sqref="U80">
      <formula1>T80</formula1>
    </dataValidation>
    <dataValidation type="whole" operator="lessThanOrEqual" allowBlank="1" showErrorMessage="1" errorTitle="Mensagem de Erro" error="F não pode ser Superior a MF" sqref="U81">
      <formula1>T81</formula1>
    </dataValidation>
    <dataValidation type="whole" operator="lessThanOrEqual" allowBlank="1" showErrorMessage="1" errorTitle="Mensagem de Erro" error="F não pode ser Superior a MF" sqref="V113">
      <formula1>U113</formula1>
    </dataValidation>
    <dataValidation type="whole" operator="lessThanOrEqual" allowBlank="1" showErrorMessage="1" errorTitle="Mensagem de Erro" error="F não pode ser Superior a MF" sqref="V114">
      <formula1>U114</formula1>
    </dataValidation>
    <dataValidation type="whole" operator="lessThanOrEqual" allowBlank="1" showErrorMessage="1" errorTitle="Mensagem de Erro" error="F não pode ser Superior a MF" sqref="V115">
      <formula1>U115</formula1>
    </dataValidation>
    <dataValidation type="whole" operator="lessThanOrEqual" allowBlank="1" showErrorMessage="1" errorTitle="Mensagem de Erro" error="F não pode ser Superior a MF" sqref="V117">
      <formula1>U117</formula1>
    </dataValidation>
    <dataValidation type="whole" operator="lessThanOrEqual" allowBlank="1" showErrorMessage="1" errorTitle="Mensagem de Erro" error="F não pode ser Superior a MF" sqref="V118">
      <formula1>U118</formula1>
    </dataValidation>
    <dataValidation type="whole" operator="lessThanOrEqual" allowBlank="1" showErrorMessage="1" errorTitle="Mensagem de Erro" error="F não pode ser Superior a MF" sqref="V119">
      <formula1>U119</formula1>
    </dataValidation>
    <dataValidation type="whole" operator="lessThanOrEqual" allowBlank="1" showErrorMessage="1" errorTitle="Mensagem de Erro" error="F não pode ser Superior a MF" sqref="V121">
      <formula1>U121</formula1>
    </dataValidation>
    <dataValidation type="whole" operator="lessThanOrEqual" allowBlank="1" showErrorMessage="1" errorTitle="Mensagem de Erro" error="F não pode ser Superior a MF" sqref="V122">
      <formula1>U122</formula1>
    </dataValidation>
    <dataValidation type="whole" operator="lessThanOrEqual" allowBlank="1" showErrorMessage="1" errorTitle="Mensagem de Erro" error="F não pode ser Superior a MF" sqref="V123">
      <formula1>U123</formula1>
    </dataValidation>
    <dataValidation type="whole" operator="lessThanOrEqual" allowBlank="1" showErrorMessage="1" errorTitle="Mensagem de Erro" error="F não pode ser Superior a MF" sqref="V137">
      <formula1>U137</formula1>
    </dataValidation>
    <dataValidation type="whole" operator="lessThanOrEqual" allowBlank="1" showErrorMessage="1" errorTitle="Mensagem de Erro" error="F não pode ser Superior a MF" sqref="V138">
      <formula1>U138</formula1>
    </dataValidation>
    <dataValidation type="whole" operator="lessThanOrEqual" allowBlank="1" showErrorMessage="1" errorTitle="Mensagem de Erro" error="F não pode ser Superior a MF" sqref="V139">
      <formula1>U139</formula1>
    </dataValidation>
    <dataValidation type="whole" operator="lessThanOrEqual" allowBlank="1" showErrorMessage="1" errorTitle="Mensagem de Erro" error="F não pode ser Superior a MF" sqref="V141">
      <formula1>U141</formula1>
    </dataValidation>
    <dataValidation type="whole" operator="lessThanOrEqual" allowBlank="1" showErrorMessage="1" errorTitle="Mensagem de Erro" error="F não pode ser Superior a MF" sqref="V142">
      <formula1>U142</formula1>
    </dataValidation>
    <dataValidation type="whole" operator="lessThanOrEqual" allowBlank="1" showErrorMessage="1" errorTitle="Mensagem de Erro" error="F não pode ser Superior a MF" sqref="V143">
      <formula1>U143</formula1>
    </dataValidation>
    <dataValidation type="whole" operator="lessThanOrEqual" allowBlank="1" showErrorMessage="1" errorTitle="Mensagem de Erro" error="F não pode ser Superior a MF" sqref="V145">
      <formula1>U145</formula1>
    </dataValidation>
    <dataValidation type="whole" operator="lessThanOrEqual" allowBlank="1" showErrorMessage="1" errorTitle="Mensagem de Erro" error="F não pode ser Superior a MF" sqref="V146">
      <formula1>U146</formula1>
    </dataValidation>
    <dataValidation type="whole" operator="lessThanOrEqual" allowBlank="1" showErrorMessage="1" errorTitle="Mensagem de Erro" error="F não pode ser Superior a MF" sqref="V147">
      <formula1>U147</formula1>
    </dataValidation>
    <dataValidation type="whole" operator="lessThanOrEqual" allowBlank="1" showErrorMessage="1" errorTitle="Mensagem de Erro" error="F não pode ser Superior a MF" sqref="V223">
      <formula1>U223</formula1>
    </dataValidation>
    <dataValidation type="whole" operator="lessThanOrEqual" allowBlank="1" showErrorMessage="1" errorTitle="Mensagem de Erro" error="F não pode ser Superior a MF" sqref="V224">
      <formula1>U224</formula1>
    </dataValidation>
    <dataValidation type="whole" operator="lessThanOrEqual" allowBlank="1" showErrorMessage="1" errorTitle="Mensagem de Erro" error="F não pode ser Superior a MF" sqref="V226">
      <formula1>U226</formula1>
    </dataValidation>
    <dataValidation type="whole" operator="lessThanOrEqual" allowBlank="1" showErrorMessage="1" errorTitle="Mensagem de Erro" error="F não pode ser Superior a MF" sqref="V227">
      <formula1>U227</formula1>
    </dataValidation>
    <dataValidation type="whole" operator="lessThanOrEqual" allowBlank="1" showErrorMessage="1" errorTitle="Mensagem de Erro" error="F não pode ser Superior a MF" sqref="V229">
      <formula1>U229</formula1>
    </dataValidation>
    <dataValidation type="whole" operator="lessThanOrEqual" allowBlank="1" showErrorMessage="1" errorTitle="Mensagem de Erro" error="F não pode ser Superior a MF" sqref="V230">
      <formula1>U230</formula1>
    </dataValidation>
    <dataValidation type="whole" operator="lessThanOrEqual" allowBlank="1" showErrorMessage="1" errorTitle="Mensagem de Erro" error="F não pode ser Superior a MF" sqref="V37">
      <formula1>U37</formula1>
    </dataValidation>
    <dataValidation type="whole" operator="lessThanOrEqual" allowBlank="1" showErrorMessage="1" errorTitle="Mensagem de Erro" error="F não pode ser Superior a MF" sqref="V38">
      <formula1>U38</formula1>
    </dataValidation>
    <dataValidation type="whole" operator="lessThanOrEqual" allowBlank="1" showErrorMessage="1" errorTitle="Mensagem de Erro" error="F não pode ser Superior a MF" sqref="V39">
      <formula1>U39</formula1>
    </dataValidation>
    <dataValidation type="whole" operator="lessThanOrEqual" allowBlank="1" showErrorMessage="1" errorTitle="Mensagem de Erro" error="F não pode ser Superior a MF" sqref="W62">
      <formula1>V62</formula1>
    </dataValidation>
    <dataValidation type="whole" operator="lessThanOrEqual" allowBlank="1" showErrorMessage="1" errorTitle="Mensagem de Erro" error="F não pode ser Superior a MF" sqref="W63">
      <formula1>V63</formula1>
    </dataValidation>
    <dataValidation type="whole" operator="lessThanOrEqual" allowBlank="1" showErrorMessage="1" errorTitle="Mensagem de Erro" error="F não pode ser Superior a MF" sqref="W64">
      <formula1>V64</formula1>
    </dataValidation>
    <dataValidation type="whole" operator="lessThanOrEqual" allowBlank="1" showErrorMessage="1" errorTitle="Mensagem de Erro" error="F não pode ser Superior a MF" sqref="W65">
      <formula1>V65</formula1>
    </dataValidation>
    <dataValidation type="whole" operator="lessThanOrEqual" allowBlank="1" showErrorMessage="1" errorTitle="Mensagem de Erro" error="F não pode ser Superior a MF" sqref="W66">
      <formula1>V66</formula1>
    </dataValidation>
    <dataValidation type="whole" operator="lessThanOrEqual" allowBlank="1" showErrorMessage="1" errorTitle="Mensagem de Erro" error="F não pode ser Superior a MF" sqref="W67">
      <formula1>V67</formula1>
    </dataValidation>
    <dataValidation type="whole" operator="lessThanOrEqual" allowBlank="1" showErrorMessage="1" errorTitle="Mensagem de Erro" error="F não pode ser Superior a MF" sqref="W69">
      <formula1>V69</formula1>
    </dataValidation>
    <dataValidation type="whole" operator="lessThanOrEqual" allowBlank="1" showErrorMessage="1" errorTitle="Mensagem de Erro" error="F não pode ser Superior a MF" sqref="W70">
      <formula1>V70</formula1>
    </dataValidation>
    <dataValidation type="whole" operator="lessThanOrEqual" allowBlank="1" showErrorMessage="1" errorTitle="Mensagem de Erro" error="F não pode ser Superior a MF" sqref="W71">
      <formula1>V71</formula1>
    </dataValidation>
    <dataValidation type="whole" operator="lessThanOrEqual" allowBlank="1" showErrorMessage="1" errorTitle="Mensagem de Erro" error="F não pode ser Superior a MF" sqref="W72">
      <formula1>V72</formula1>
    </dataValidation>
    <dataValidation type="whole" operator="lessThanOrEqual" allowBlank="1" showErrorMessage="1" errorTitle="Mensagem de Erro" error="F não pode ser Superior a MF" sqref="W73">
      <formula1>V73</formula1>
    </dataValidation>
    <dataValidation type="whole" operator="lessThanOrEqual" allowBlank="1" showErrorMessage="1" errorTitle="Mensagem de Erro" error="F não pode ser Superior a MF" sqref="W74">
      <formula1>V74</formula1>
    </dataValidation>
    <dataValidation type="whole" operator="lessThanOrEqual" allowBlank="1" showErrorMessage="1" errorTitle="Mensagem de Erro" error="F não pode ser Superior a MF" sqref="W76">
      <formula1>V76</formula1>
    </dataValidation>
    <dataValidation type="whole" operator="lessThanOrEqual" allowBlank="1" showErrorMessage="1" errorTitle="Mensagem de Erro" error="F não pode ser Superior a MF" sqref="W77">
      <formula1>V77</formula1>
    </dataValidation>
    <dataValidation type="whole" operator="lessThanOrEqual" allowBlank="1" showErrorMessage="1" errorTitle="Mensagem de Erro" error="F não pode ser Superior a MF" sqref="W78">
      <formula1>V78</formula1>
    </dataValidation>
    <dataValidation type="whole" operator="lessThanOrEqual" allowBlank="1" showErrorMessage="1" errorTitle="Mensagem de Erro" error="F não pode ser Superior a MF" sqref="W79">
      <formula1>V79</formula1>
    </dataValidation>
    <dataValidation type="whole" operator="lessThanOrEqual" allowBlank="1" showErrorMessage="1" errorTitle="Mensagem de Erro" error="F não pode ser Superior a MF" sqref="W80">
      <formula1>V80</formula1>
    </dataValidation>
    <dataValidation type="whole" operator="lessThanOrEqual" allowBlank="1" showErrorMessage="1" errorTitle="Mensagem de Erro" error="F não pode ser Superior a MF" sqref="W81">
      <formula1>V81</formula1>
    </dataValidation>
    <dataValidation type="whole" operator="lessThanOrEqual" allowBlank="1" showErrorMessage="1" errorTitle="Mensagem de Erro" error="F não pode ser Superior a MF" sqref="X137">
      <formula1>W137</formula1>
    </dataValidation>
    <dataValidation type="whole" operator="lessThanOrEqual" allowBlank="1" showErrorMessage="1" errorTitle="Mensagem de Erro" error="F não pode ser Superior a MF" sqref="X138">
      <formula1>W138</formula1>
    </dataValidation>
    <dataValidation type="whole" operator="lessThanOrEqual" allowBlank="1" showErrorMessage="1" errorTitle="Mensagem de Erro" error="F não pode ser Superior a MF" sqref="X139">
      <formula1>W139</formula1>
    </dataValidation>
    <dataValidation type="whole" operator="lessThanOrEqual" allowBlank="1" showErrorMessage="1" errorTitle="Mensagem de Erro" error="F não pode ser Superior a MF" sqref="X141">
      <formula1>W141</formula1>
    </dataValidation>
    <dataValidation type="whole" operator="lessThanOrEqual" allowBlank="1" showErrorMessage="1" errorTitle="Mensagem de Erro" error="F não pode ser Superior a MF" sqref="X142">
      <formula1>W142</formula1>
    </dataValidation>
    <dataValidation type="whole" operator="lessThanOrEqual" allowBlank="1" showErrorMessage="1" errorTitle="Mensagem de Erro" error="F não pode ser Superior a MF" sqref="X143">
      <formula1>W143</formula1>
    </dataValidation>
    <dataValidation type="whole" operator="lessThanOrEqual" allowBlank="1" showErrorMessage="1" errorTitle="Mensagem de Erro" error="F não pode ser Superior a MF" sqref="X145">
      <formula1>W145</formula1>
    </dataValidation>
    <dataValidation type="whole" operator="lessThanOrEqual" allowBlank="1" showErrorMessage="1" errorTitle="Mensagem de Erro" error="F não pode ser Superior a MF" sqref="X146">
      <formula1>W146</formula1>
    </dataValidation>
    <dataValidation type="whole" operator="lessThanOrEqual" allowBlank="1" showErrorMessage="1" errorTitle="Mensagem de Erro" error="F não pode ser Superior a MF" sqref="X147">
      <formula1>W147</formula1>
    </dataValidation>
    <dataValidation type="whole" operator="lessThanOrEqual" allowBlank="1" showErrorMessage="1" errorTitle="Mensagem de Erro" error="F não pode ser Superior a MF" sqref="X223">
      <formula1>W223</formula1>
    </dataValidation>
    <dataValidation type="whole" operator="lessThanOrEqual" allowBlank="1" showErrorMessage="1" errorTitle="Mensagem de Erro" error="F não pode ser Superior a MF" sqref="X224">
      <formula1>W224</formula1>
    </dataValidation>
    <dataValidation type="whole" operator="lessThanOrEqual" allowBlank="1" showErrorMessage="1" errorTitle="Mensagem de Erro" error="F não pode ser Superior a MF" sqref="X226">
      <formula1>W226</formula1>
    </dataValidation>
    <dataValidation type="whole" operator="lessThanOrEqual" allowBlank="1" showErrorMessage="1" errorTitle="Mensagem de Erro" error="F não pode ser Superior a MF" sqref="X227">
      <formula1>W227</formula1>
    </dataValidation>
    <dataValidation type="whole" operator="lessThanOrEqual" allowBlank="1" showErrorMessage="1" errorTitle="Mensagem de Erro" error="F não pode ser Superior a MF" sqref="X229">
      <formula1>W229</formula1>
    </dataValidation>
    <dataValidation type="whole" operator="lessThanOrEqual" allowBlank="1" showErrorMessage="1" errorTitle="Mensagem de Erro" error="F não pode ser Superior a MF" sqref="X230">
      <formula1>W230</formula1>
    </dataValidation>
    <dataValidation type="whole" operator="lessThanOrEqual" allowBlank="1" showErrorMessage="1" errorTitle="Mensagem de Erro" error="F não pode ser Superior a MF" sqref="X37">
      <formula1>W37</formula1>
    </dataValidation>
    <dataValidation type="whole" operator="lessThanOrEqual" allowBlank="1" showErrorMessage="1" errorTitle="Mensagem de Erro" error="F não pode ser Superior a MF" sqref="X38">
      <formula1>W38</formula1>
    </dataValidation>
    <dataValidation type="whole" operator="lessThanOrEqual" allowBlank="1" showErrorMessage="1" errorTitle="Mensagem de Erro" error="F não pode ser Superior a MF" sqref="X39">
      <formula1>W39</formula1>
    </dataValidation>
    <dataValidation type="whole" operator="lessThanOrEqual" allowBlank="1" showErrorMessage="1" errorTitle="Mensagem de Erro" error="F não pode ser Superior a MF" sqref="Y62">
      <formula1>X62</formula1>
    </dataValidation>
    <dataValidation type="whole" operator="lessThanOrEqual" allowBlank="1" showErrorMessage="1" errorTitle="Mensagem de Erro" error="F não pode ser Superior a MF" sqref="Y63">
      <formula1>X63</formula1>
    </dataValidation>
    <dataValidation type="whole" operator="lessThanOrEqual" allowBlank="1" showErrorMessage="1" errorTitle="Mensagem de Erro" error="F não pode ser Superior a MF" sqref="Y64">
      <formula1>X64</formula1>
    </dataValidation>
    <dataValidation type="whole" operator="lessThanOrEqual" allowBlank="1" showErrorMessage="1" errorTitle="Mensagem de Erro" error="F não pode ser Superior a MF" sqref="Y65">
      <formula1>X65</formula1>
    </dataValidation>
    <dataValidation type="whole" operator="lessThanOrEqual" allowBlank="1" showErrorMessage="1" errorTitle="Mensagem de Erro" error="F não pode ser Superior a MF" sqref="Y66">
      <formula1>X66</formula1>
    </dataValidation>
    <dataValidation type="whole" operator="lessThanOrEqual" allowBlank="1" showErrorMessage="1" errorTitle="Mensagem de Erro" error="F não pode ser Superior a MF" sqref="Y67">
      <formula1>X67</formula1>
    </dataValidation>
    <dataValidation type="whole" operator="lessThanOrEqual" allowBlank="1" showErrorMessage="1" errorTitle="Mensagem de Erro" error="F não pode ser Superior a MF" sqref="Y69">
      <formula1>X69</formula1>
    </dataValidation>
    <dataValidation type="whole" operator="lessThanOrEqual" allowBlank="1" showErrorMessage="1" errorTitle="Mensagem de Erro" error="F não pode ser Superior a MF" sqref="Y70">
      <formula1>X70</formula1>
    </dataValidation>
    <dataValidation type="whole" operator="lessThanOrEqual" allowBlank="1" showErrorMessage="1" errorTitle="Mensagem de Erro" error="F não pode ser Superior a MF" sqref="Y71">
      <formula1>X71</formula1>
    </dataValidation>
    <dataValidation type="whole" operator="lessThanOrEqual" allowBlank="1" showErrorMessage="1" errorTitle="Mensagem de Erro" error="F não pode ser Superior a MF" sqref="Y72">
      <formula1>X72</formula1>
    </dataValidation>
    <dataValidation type="whole" operator="lessThanOrEqual" allowBlank="1" showErrorMessage="1" errorTitle="Mensagem de Erro" error="F não pode ser Superior a MF" sqref="Y73">
      <formula1>X73</formula1>
    </dataValidation>
    <dataValidation type="whole" operator="lessThanOrEqual" allowBlank="1" showErrorMessage="1" errorTitle="Mensagem de Erro" error="F não pode ser Superior a MF" sqref="Y74">
      <formula1>X74</formula1>
    </dataValidation>
    <dataValidation type="whole" operator="lessThanOrEqual" allowBlank="1" showErrorMessage="1" errorTitle="Mensagem de Erro" error="F não pode ser Superior a MF" sqref="Y76">
      <formula1>X76</formula1>
    </dataValidation>
    <dataValidation type="whole" operator="lessThanOrEqual" allowBlank="1" showErrorMessage="1" errorTitle="Mensagem de Erro" error="F não pode ser Superior a MF" sqref="Y77">
      <formula1>X77</formula1>
    </dataValidation>
    <dataValidation type="whole" operator="lessThanOrEqual" allowBlank="1" showErrorMessage="1" errorTitle="Mensagem de Erro" error="F não pode ser Superior a MF" sqref="Y78">
      <formula1>X78</formula1>
    </dataValidation>
    <dataValidation type="whole" operator="lessThanOrEqual" allowBlank="1" showErrorMessage="1" errorTitle="Mensagem de Erro" error="F não pode ser Superior a MF" sqref="Y79">
      <formula1>X79</formula1>
    </dataValidation>
    <dataValidation type="whole" operator="lessThanOrEqual" allowBlank="1" showErrorMessage="1" errorTitle="Mensagem de Erro" error="F não pode ser Superior a MF" sqref="Y80">
      <formula1>X80</formula1>
    </dataValidation>
    <dataValidation type="whole" operator="lessThanOrEqual" allowBlank="1" showErrorMessage="1" errorTitle="Mensagem de Erro" error="F não pode ser Superior a MF" sqref="Y81">
      <formula1>X81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82"/>
  <sheetViews>
    <sheetView workbookViewId="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2" width="25" customWidth="1"/>
    <col min="3" max="16" width="14" customWidth="1"/>
  </cols>
  <sheetData>
    <row r="2" spans="1:16" x14ac:dyDescent="0.25">
      <c r="A2" s="16" t="s">
        <v>166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4" spans="1:1" x14ac:dyDescent="0.25">
      <c r="A4" s="27" t="s">
        <v>167</v>
      </c>
    </row>
    <row r="5" spans="1:16" x14ac:dyDescent="0.25">
      <c r="A5" s="19" t="s">
        <v>168</v>
      </c>
      <c r="B5" s="19" t="s">
        <v>169</v>
      </c>
      <c r="C5" s="19" t="s">
        <v>170</v>
      </c>
      <c r="D5" s="19"/>
      <c r="E5" s="19" t="s">
        <v>171</v>
      </c>
      <c r="F5" s="19"/>
      <c r="G5" s="19" t="s">
        <v>172</v>
      </c>
      <c r="H5" s="19"/>
      <c r="I5" s="19" t="s">
        <v>173</v>
      </c>
      <c r="J5" s="19"/>
      <c r="K5" s="19" t="s">
        <v>174</v>
      </c>
      <c r="L5" s="19"/>
      <c r="M5" s="19" t="s">
        <v>175</v>
      </c>
      <c r="N5" s="19"/>
      <c r="O5" s="19" t="s">
        <v>176</v>
      </c>
      <c r="P5" s="19"/>
    </row>
    <row r="6" spans="1:16" x14ac:dyDescent="0.25">
      <c r="A6" s="19"/>
      <c r="B6" s="19"/>
      <c r="C6" s="19" t="s">
        <v>33</v>
      </c>
      <c r="D6" s="19" t="s">
        <v>34</v>
      </c>
      <c r="E6" s="19" t="s">
        <v>35</v>
      </c>
      <c r="F6" s="19" t="s">
        <v>36</v>
      </c>
      <c r="G6" s="19" t="s">
        <v>35</v>
      </c>
      <c r="H6" s="19" t="s">
        <v>36</v>
      </c>
      <c r="I6" s="19" t="s">
        <v>35</v>
      </c>
      <c r="J6" s="19" t="s">
        <v>36</v>
      </c>
      <c r="K6" s="19" t="s">
        <v>35</v>
      </c>
      <c r="L6" s="19" t="s">
        <v>36</v>
      </c>
      <c r="M6" s="19" t="s">
        <v>35</v>
      </c>
      <c r="N6" s="19" t="s">
        <v>36</v>
      </c>
      <c r="O6" s="19" t="s">
        <v>35</v>
      </c>
      <c r="P6" s="19" t="s">
        <v>36</v>
      </c>
    </row>
    <row r="7" spans="1:16" x14ac:dyDescent="0.25">
      <c r="A7" s="20" t="s">
        <v>38</v>
      </c>
      <c r="B7" s="20" t="s">
        <v>177</v>
      </c>
      <c r="C7" s="21">
        <f>SUM(E7,G7,I7,K7,M7,O7)</f>
      </c>
      <c r="D7" s="21">
        <f>SUM(F7,H7,J7,L7,N7,P7)</f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</row>
    <row r="8" spans="1:16" x14ac:dyDescent="0.25">
      <c r="A8" s="20"/>
      <c r="B8" s="20" t="s">
        <v>178</v>
      </c>
      <c r="C8" s="21">
        <f>SUM(E8,G8,I8,K8,M8,O8)</f>
      </c>
      <c r="D8" s="21">
        <f>SUM(F8,H8,J8,L8,N8,P8)</f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</row>
    <row r="9" spans="1:16" x14ac:dyDescent="0.25">
      <c r="A9" s="20"/>
      <c r="B9" s="20" t="s">
        <v>179</v>
      </c>
      <c r="C9" s="21">
        <f>SUM(E9,G9,I9,K9,M9,O9)</f>
      </c>
      <c r="D9" s="21">
        <f>SUM(F9,H9,J9,L9,N9,P9)</f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</row>
    <row r="10" spans="1:16" x14ac:dyDescent="0.25">
      <c r="A10" s="23" t="s">
        <v>79</v>
      </c>
      <c r="B10" s="23" t="s">
        <v>38</v>
      </c>
      <c r="C10" s="24">
        <f>SUM(C7:C9)</f>
      </c>
      <c r="D10" s="24">
        <f>SUM(D7:D9)</f>
      </c>
      <c r="E10" s="24">
        <f>SUM(E7:E9)</f>
      </c>
      <c r="F10" s="24">
        <f>SUM(F7:F9)</f>
      </c>
      <c r="G10" s="24">
        <f>SUM(G7:G9)</f>
      </c>
      <c r="H10" s="24">
        <f>SUM(H7:H9)</f>
      </c>
      <c r="I10" s="24">
        <f>SUM(I7:I9)</f>
      </c>
      <c r="J10" s="24">
        <f>SUM(J7:J9)</f>
      </c>
      <c r="K10" s="24">
        <f>SUM(K7:K9)</f>
      </c>
      <c r="L10" s="24">
        <f>SUM(L7:L9)</f>
      </c>
      <c r="M10" s="24">
        <f>SUM(M7:M9)</f>
      </c>
      <c r="N10" s="24">
        <f>SUM(N7:N9)</f>
      </c>
      <c r="O10" s="24">
        <f>SUM(O7:O9)</f>
      </c>
      <c r="P10" s="24">
        <f>SUM(P7:P9)</f>
      </c>
    </row>
    <row r="11" spans="1:16" x14ac:dyDescent="0.25">
      <c r="A11" s="20" t="s">
        <v>39</v>
      </c>
      <c r="B11" s="20" t="s">
        <v>177</v>
      </c>
      <c r="C11" s="21">
        <f>SUM(E11,G11,I11,K11,M11,O11)</f>
      </c>
      <c r="D11" s="21">
        <f>SUM(F11,H11,J11,L11,N11,P11)</f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</row>
    <row r="12" spans="1:16" x14ac:dyDescent="0.25">
      <c r="A12" s="20"/>
      <c r="B12" s="20" t="s">
        <v>178</v>
      </c>
      <c r="C12" s="21">
        <f>SUM(E12,G12,I12,K12,M12,O12)</f>
      </c>
      <c r="D12" s="21">
        <f>SUM(F12,H12,J12,L12,N12,P12)</f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</row>
    <row r="13" spans="1:16" x14ac:dyDescent="0.25">
      <c r="A13" s="20"/>
      <c r="B13" s="20" t="s">
        <v>179</v>
      </c>
      <c r="C13" s="21">
        <f>SUM(E13,G13,I13,K13,M13,O13)</f>
      </c>
      <c r="D13" s="21">
        <f>SUM(F13,H13,J13,L13,N13,P13)</f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</row>
    <row r="14" spans="1:16" x14ac:dyDescent="0.25">
      <c r="A14" s="23" t="s">
        <v>79</v>
      </c>
      <c r="B14" s="23" t="s">
        <v>39</v>
      </c>
      <c r="C14" s="24">
        <f>SUM(C11:C13)</f>
      </c>
      <c r="D14" s="24">
        <f>SUM(D11:D13)</f>
      </c>
      <c r="E14" s="24">
        <f>SUM(E11:E13)</f>
      </c>
      <c r="F14" s="24">
        <f>SUM(F11:F13)</f>
      </c>
      <c r="G14" s="24">
        <f>SUM(G11:G13)</f>
      </c>
      <c r="H14" s="24">
        <f>SUM(H11:H13)</f>
      </c>
      <c r="I14" s="24">
        <f>SUM(I11:I13)</f>
      </c>
      <c r="J14" s="24">
        <f>SUM(J11:J13)</f>
      </c>
      <c r="K14" s="24">
        <f>SUM(K11:K13)</f>
      </c>
      <c r="L14" s="24">
        <f>SUM(L11:L13)</f>
      </c>
      <c r="M14" s="24">
        <f>SUM(M11:M13)</f>
      </c>
      <c r="N14" s="24">
        <f>SUM(N11:N13)</f>
      </c>
      <c r="O14" s="24">
        <f>SUM(O11:O13)</f>
      </c>
      <c r="P14" s="24">
        <f>SUM(P11:P13)</f>
      </c>
    </row>
    <row r="15" spans="1:16" x14ac:dyDescent="0.25">
      <c r="A15" s="20" t="s">
        <v>40</v>
      </c>
      <c r="B15" s="20" t="s">
        <v>177</v>
      </c>
      <c r="C15" s="21">
        <f>SUM(E15,G15,I15,K15,M15,O15)</f>
      </c>
      <c r="D15" s="21">
        <f>SUM(F15,H15,J15,L15,N15,P15)</f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</row>
    <row r="16" spans="1:16" x14ac:dyDescent="0.25">
      <c r="A16" s="20"/>
      <c r="B16" s="20" t="s">
        <v>178</v>
      </c>
      <c r="C16" s="21">
        <f>SUM(E16,G16,I16,K16,M16,O16)</f>
      </c>
      <c r="D16" s="21">
        <f>SUM(F16,H16,J16,L16,N16,P16)</f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</row>
    <row r="17" spans="1:16" x14ac:dyDescent="0.25">
      <c r="A17" s="20"/>
      <c r="B17" s="20" t="s">
        <v>179</v>
      </c>
      <c r="C17" s="21">
        <f>SUM(E17,G17,I17,K17,M17,O17)</f>
      </c>
      <c r="D17" s="21">
        <f>SUM(F17,H17,J17,L17,N17,P17)</f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</row>
    <row r="18" spans="1:16" x14ac:dyDescent="0.25">
      <c r="A18" s="23" t="s">
        <v>79</v>
      </c>
      <c r="B18" s="23" t="s">
        <v>40</v>
      </c>
      <c r="C18" s="24">
        <f>SUM(C15:C17)</f>
      </c>
      <c r="D18" s="24">
        <f>SUM(D15:D17)</f>
      </c>
      <c r="E18" s="24">
        <f>SUM(E15:E17)</f>
      </c>
      <c r="F18" s="24">
        <f>SUM(F15:F17)</f>
      </c>
      <c r="G18" s="24">
        <f>SUM(G15:G17)</f>
      </c>
      <c r="H18" s="24">
        <f>SUM(H15:H17)</f>
      </c>
      <c r="I18" s="24">
        <f>SUM(I15:I17)</f>
      </c>
      <c r="J18" s="24">
        <f>SUM(J15:J17)</f>
      </c>
      <c r="K18" s="24">
        <f>SUM(K15:K17)</f>
      </c>
      <c r="L18" s="24">
        <f>SUM(L15:L17)</f>
      </c>
      <c r="M18" s="24">
        <f>SUM(M15:M17)</f>
      </c>
      <c r="N18" s="24">
        <f>SUM(N15:N17)</f>
      </c>
      <c r="O18" s="24">
        <f>SUM(O15:O17)</f>
      </c>
      <c r="P18" s="24">
        <f>SUM(P15:P17)</f>
      </c>
    </row>
    <row r="19" spans="1:16" x14ac:dyDescent="0.25">
      <c r="A19" s="23" t="s">
        <v>17</v>
      </c>
      <c r="B19" s="23" t="s">
        <v>180</v>
      </c>
      <c r="C19" s="24">
        <f>SUM(C10,C14,C18)</f>
      </c>
      <c r="D19" s="24">
        <f>SUM(D10,D14,D18)</f>
      </c>
      <c r="E19" s="24">
        <f>SUM(E10,E14,E18)</f>
      </c>
      <c r="F19" s="24">
        <f>SUM(F10,F14,F18)</f>
      </c>
      <c r="G19" s="24">
        <f>SUM(G10,G14,G18)</f>
      </c>
      <c r="H19" s="24">
        <f>SUM(H10,H14,H18)</f>
      </c>
      <c r="I19" s="24">
        <f>SUM(I10,I14,I18)</f>
      </c>
      <c r="J19" s="24">
        <f>SUM(J10,J14,J18)</f>
      </c>
      <c r="K19" s="24">
        <f>SUM(K10,K14,K18)</f>
      </c>
      <c r="L19" s="24">
        <f>SUM(L10,L14,L18)</f>
      </c>
      <c r="M19" s="24">
        <f>SUM(M10,M14,M18)</f>
      </c>
      <c r="N19" s="24">
        <f>SUM(N10,N14,N18)</f>
      </c>
      <c r="O19" s="24">
        <f>SUM(O10,O14,O18)</f>
      </c>
      <c r="P19" s="24">
        <f>SUM(P10,P14,P18)</f>
      </c>
    </row>
    <row r="22" spans="1:1" x14ac:dyDescent="0.25">
      <c r="A22" s="27" t="s">
        <v>181</v>
      </c>
    </row>
    <row r="23" spans="1:16" x14ac:dyDescent="0.25">
      <c r="A23" s="19" t="s">
        <v>168</v>
      </c>
      <c r="B23" s="19" t="s">
        <v>169</v>
      </c>
      <c r="C23" s="19" t="s">
        <v>170</v>
      </c>
      <c r="D23" s="19"/>
      <c r="E23" s="19" t="s">
        <v>171</v>
      </c>
      <c r="F23" s="19"/>
      <c r="G23" s="19" t="s">
        <v>172</v>
      </c>
      <c r="H23" s="19"/>
      <c r="I23" s="19" t="s">
        <v>173</v>
      </c>
      <c r="J23" s="19"/>
      <c r="K23" s="19" t="s">
        <v>174</v>
      </c>
      <c r="L23" s="19"/>
      <c r="M23" s="19" t="s">
        <v>175</v>
      </c>
      <c r="N23" s="19"/>
      <c r="O23" s="19" t="s">
        <v>176</v>
      </c>
      <c r="P23" s="19"/>
    </row>
    <row r="24" spans="1:16" x14ac:dyDescent="0.25">
      <c r="A24" s="19"/>
      <c r="B24" s="19"/>
      <c r="C24" s="19" t="s">
        <v>33</v>
      </c>
      <c r="D24" s="19" t="s">
        <v>34</v>
      </c>
      <c r="E24" s="19" t="s">
        <v>35</v>
      </c>
      <c r="F24" s="19" t="s">
        <v>36</v>
      </c>
      <c r="G24" s="19" t="s">
        <v>35</v>
      </c>
      <c r="H24" s="19" t="s">
        <v>36</v>
      </c>
      <c r="I24" s="19" t="s">
        <v>35</v>
      </c>
      <c r="J24" s="19" t="s">
        <v>36</v>
      </c>
      <c r="K24" s="19" t="s">
        <v>35</v>
      </c>
      <c r="L24" s="19" t="s">
        <v>36</v>
      </c>
      <c r="M24" s="19" t="s">
        <v>35</v>
      </c>
      <c r="N24" s="19" t="s">
        <v>36</v>
      </c>
      <c r="O24" s="19" t="s">
        <v>35</v>
      </c>
      <c r="P24" s="19" t="s">
        <v>36</v>
      </c>
    </row>
    <row r="25" spans="1:16" x14ac:dyDescent="0.25">
      <c r="A25" s="20" t="s">
        <v>38</v>
      </c>
      <c r="B25" s="20" t="s">
        <v>177</v>
      </c>
      <c r="C25" s="21">
        <f>SUM(E25,G25,I25,K25,M25,O25)</f>
      </c>
      <c r="D25" s="21">
        <f>SUM(F25,H25,J25,L25,N25,P25)</f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</row>
    <row r="26" spans="1:16" x14ac:dyDescent="0.25">
      <c r="A26" s="20"/>
      <c r="B26" s="20" t="s">
        <v>178</v>
      </c>
      <c r="C26" s="21">
        <f>SUM(E26,G26,I26,K26,M26,O26)</f>
      </c>
      <c r="D26" s="21">
        <f>SUM(F26,H26,J26,L26,N26,P26)</f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</row>
    <row r="27" spans="1:16" x14ac:dyDescent="0.25">
      <c r="A27" s="20"/>
      <c r="B27" s="20" t="s">
        <v>179</v>
      </c>
      <c r="C27" s="21">
        <f>SUM(E27,G27,I27,K27,M27,O27)</f>
      </c>
      <c r="D27" s="21">
        <f>SUM(F27,H27,J27,L27,N27,P27)</f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</row>
    <row r="28" spans="1:16" x14ac:dyDescent="0.25">
      <c r="A28" s="23" t="s">
        <v>79</v>
      </c>
      <c r="B28" s="23" t="s">
        <v>38</v>
      </c>
      <c r="C28" s="24">
        <f>SUM(C25:C27)</f>
      </c>
      <c r="D28" s="24">
        <f>SUM(D25:D27)</f>
      </c>
      <c r="E28" s="24">
        <f>SUM(E25:E27)</f>
      </c>
      <c r="F28" s="24">
        <f>SUM(F25:F27)</f>
      </c>
      <c r="G28" s="24">
        <f>SUM(G25:G27)</f>
      </c>
      <c r="H28" s="24">
        <f>SUM(H25:H27)</f>
      </c>
      <c r="I28" s="24">
        <f>SUM(I25:I27)</f>
      </c>
      <c r="J28" s="24">
        <f>SUM(J25:J27)</f>
      </c>
      <c r="K28" s="24">
        <f>SUM(K25:K27)</f>
      </c>
      <c r="L28" s="24">
        <f>SUM(L25:L27)</f>
      </c>
      <c r="M28" s="24">
        <f>SUM(M25:M27)</f>
      </c>
      <c r="N28" s="24">
        <f>SUM(N25:N27)</f>
      </c>
      <c r="O28" s="24">
        <f>SUM(O25:O27)</f>
      </c>
      <c r="P28" s="24">
        <f>SUM(P25:P27)</f>
      </c>
    </row>
    <row r="29" spans="1:16" x14ac:dyDescent="0.25">
      <c r="A29" s="20" t="s">
        <v>39</v>
      </c>
      <c r="B29" s="20" t="s">
        <v>177</v>
      </c>
      <c r="C29" s="21">
        <f>SUM(E29,G29,I29,K29,M29,O29)</f>
      </c>
      <c r="D29" s="21">
        <f>SUM(F29,H29,J29,L29,N29,P29)</f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</row>
    <row r="30" spans="1:16" x14ac:dyDescent="0.25">
      <c r="A30" s="20"/>
      <c r="B30" s="20" t="s">
        <v>178</v>
      </c>
      <c r="C30" s="21">
        <f>SUM(E30,G30,I30,K30,M30,O30)</f>
      </c>
      <c r="D30" s="21">
        <f>SUM(F30,H30,J30,L30,N30,P30)</f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</row>
    <row r="31" spans="1:16" x14ac:dyDescent="0.25">
      <c r="A31" s="20"/>
      <c r="B31" s="20" t="s">
        <v>179</v>
      </c>
      <c r="C31" s="21">
        <f>SUM(E31,G31,I31,K31,M31,O31)</f>
      </c>
      <c r="D31" s="21">
        <f>SUM(F31,H31,J31,L31,N31,P31)</f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</row>
    <row r="32" spans="1:16" x14ac:dyDescent="0.25">
      <c r="A32" s="23" t="s">
        <v>79</v>
      </c>
      <c r="B32" s="23" t="s">
        <v>39</v>
      </c>
      <c r="C32" s="24">
        <f>SUM(C29:C31)</f>
      </c>
      <c r="D32" s="24">
        <f>SUM(D29:D31)</f>
      </c>
      <c r="E32" s="24">
        <f>SUM(E29:E31)</f>
      </c>
      <c r="F32" s="24">
        <f>SUM(F29:F31)</f>
      </c>
      <c r="G32" s="24">
        <f>SUM(G29:G31)</f>
      </c>
      <c r="H32" s="24">
        <f>SUM(H29:H31)</f>
      </c>
      <c r="I32" s="24">
        <f>SUM(I29:I31)</f>
      </c>
      <c r="J32" s="24">
        <f>SUM(J29:J31)</f>
      </c>
      <c r="K32" s="24">
        <f>SUM(K29:K31)</f>
      </c>
      <c r="L32" s="24">
        <f>SUM(L29:L31)</f>
      </c>
      <c r="M32" s="24">
        <f>SUM(M29:M31)</f>
      </c>
      <c r="N32" s="24">
        <f>SUM(N29:N31)</f>
      </c>
      <c r="O32" s="24">
        <f>SUM(O29:O31)</f>
      </c>
      <c r="P32" s="24">
        <f>SUM(P29:P31)</f>
      </c>
    </row>
    <row r="33" spans="1:16" x14ac:dyDescent="0.25">
      <c r="A33" s="20" t="s">
        <v>40</v>
      </c>
      <c r="B33" s="20" t="s">
        <v>177</v>
      </c>
      <c r="C33" s="21">
        <f>SUM(E33,G33,I33,K33,M33,O33)</f>
      </c>
      <c r="D33" s="21">
        <f>SUM(F33,H33,J33,L33,N33,P33)</f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</row>
    <row r="34" spans="1:16" x14ac:dyDescent="0.25">
      <c r="A34" s="20"/>
      <c r="B34" s="20" t="s">
        <v>178</v>
      </c>
      <c r="C34" s="21">
        <f>SUM(E34,G34,I34,K34,M34,O34)</f>
      </c>
      <c r="D34" s="21">
        <f>SUM(F34,H34,J34,L34,N34,P34)</f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</row>
    <row r="35" spans="1:16" x14ac:dyDescent="0.25">
      <c r="A35" s="20"/>
      <c r="B35" s="20" t="s">
        <v>179</v>
      </c>
      <c r="C35" s="21">
        <f>SUM(E35,G35,I35,K35,M35,O35)</f>
      </c>
      <c r="D35" s="21">
        <f>SUM(F35,H35,J35,L35,N35,P35)</f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</row>
    <row r="36" spans="1:16" x14ac:dyDescent="0.25">
      <c r="A36" s="23" t="s">
        <v>79</v>
      </c>
      <c r="B36" s="23" t="s">
        <v>40</v>
      </c>
      <c r="C36" s="24">
        <f>SUM(C33:C35)</f>
      </c>
      <c r="D36" s="24">
        <f>SUM(D33:D35)</f>
      </c>
      <c r="E36" s="24">
        <f>SUM(E33:E35)</f>
      </c>
      <c r="F36" s="24">
        <f>SUM(F33:F35)</f>
      </c>
      <c r="G36" s="24">
        <f>SUM(G33:G35)</f>
      </c>
      <c r="H36" s="24">
        <f>SUM(H33:H35)</f>
      </c>
      <c r="I36" s="24">
        <f>SUM(I33:I35)</f>
      </c>
      <c r="J36" s="24">
        <f>SUM(J33:J35)</f>
      </c>
      <c r="K36" s="24">
        <f>SUM(K33:K35)</f>
      </c>
      <c r="L36" s="24">
        <f>SUM(L33:L35)</f>
      </c>
      <c r="M36" s="24">
        <f>SUM(M33:M35)</f>
      </c>
      <c r="N36" s="24">
        <f>SUM(N33:N35)</f>
      </c>
      <c r="O36" s="24">
        <f>SUM(O33:O35)</f>
      </c>
      <c r="P36" s="24">
        <f>SUM(P33:P35)</f>
      </c>
    </row>
    <row r="37" spans="1:16" x14ac:dyDescent="0.25">
      <c r="A37" s="23" t="s">
        <v>17</v>
      </c>
      <c r="B37" s="23" t="s">
        <v>11</v>
      </c>
      <c r="C37" s="24">
        <f>SUM(C28,C32,C36)</f>
      </c>
      <c r="D37" s="24">
        <f>SUM(D28,D32,D36)</f>
      </c>
      <c r="E37" s="24">
        <f>SUM(E28,E32,E36)</f>
      </c>
      <c r="F37" s="24">
        <f>SUM(F28,F32,F36)</f>
      </c>
      <c r="G37" s="24">
        <f>SUM(G28,G32,G36)</f>
      </c>
      <c r="H37" s="24">
        <f>SUM(H28,H32,H36)</f>
      </c>
      <c r="I37" s="24">
        <f>SUM(I28,I32,I36)</f>
      </c>
      <c r="J37" s="24">
        <f>SUM(J28,J32,J36)</f>
      </c>
      <c r="K37" s="24">
        <f>SUM(K28,K32,K36)</f>
      </c>
      <c r="L37" s="24">
        <f>SUM(L28,L32,L36)</f>
      </c>
      <c r="M37" s="24">
        <f>SUM(M28,M32,M36)</f>
      </c>
      <c r="N37" s="24">
        <f>SUM(N28,N32,N36)</f>
      </c>
      <c r="O37" s="24">
        <f>SUM(O28,O32,O36)</f>
      </c>
      <c r="P37" s="24">
        <f>SUM(P28,P32,P36)</f>
      </c>
    </row>
    <row r="40" spans="1:1" x14ac:dyDescent="0.25">
      <c r="A40" s="27" t="s">
        <v>182</v>
      </c>
    </row>
    <row r="41" spans="1:16" x14ac:dyDescent="0.25">
      <c r="A41" s="19" t="s">
        <v>168</v>
      </c>
      <c r="B41" s="19" t="s">
        <v>169</v>
      </c>
      <c r="C41" s="19" t="s">
        <v>170</v>
      </c>
      <c r="D41" s="19"/>
      <c r="E41" s="19" t="s">
        <v>171</v>
      </c>
      <c r="F41" s="19"/>
      <c r="G41" s="19" t="s">
        <v>172</v>
      </c>
      <c r="H41" s="19"/>
      <c r="I41" s="19" t="s">
        <v>173</v>
      </c>
      <c r="J41" s="19"/>
      <c r="K41" s="19" t="s">
        <v>174</v>
      </c>
      <c r="L41" s="19"/>
      <c r="M41" s="19" t="s">
        <v>175</v>
      </c>
      <c r="N41" s="19"/>
      <c r="O41" s="19" t="s">
        <v>176</v>
      </c>
      <c r="P41" s="19"/>
    </row>
    <row r="42" spans="1:16" x14ac:dyDescent="0.25">
      <c r="A42" s="19"/>
      <c r="B42" s="19"/>
      <c r="C42" s="19" t="s">
        <v>33</v>
      </c>
      <c r="D42" s="19" t="s">
        <v>34</v>
      </c>
      <c r="E42" s="19" t="s">
        <v>35</v>
      </c>
      <c r="F42" s="19" t="s">
        <v>36</v>
      </c>
      <c r="G42" s="19" t="s">
        <v>35</v>
      </c>
      <c r="H42" s="19" t="s">
        <v>36</v>
      </c>
      <c r="I42" s="19" t="s">
        <v>35</v>
      </c>
      <c r="J42" s="19" t="s">
        <v>36</v>
      </c>
      <c r="K42" s="19" t="s">
        <v>35</v>
      </c>
      <c r="L42" s="19" t="s">
        <v>36</v>
      </c>
      <c r="M42" s="19" t="s">
        <v>35</v>
      </c>
      <c r="N42" s="19" t="s">
        <v>36</v>
      </c>
      <c r="O42" s="19" t="s">
        <v>35</v>
      </c>
      <c r="P42" s="19" t="s">
        <v>36</v>
      </c>
    </row>
    <row r="43" spans="1:16" x14ac:dyDescent="0.25">
      <c r="A43" s="20" t="s">
        <v>38</v>
      </c>
      <c r="B43" s="20" t="s">
        <v>177</v>
      </c>
      <c r="C43" s="21">
        <f>SUM(E43,G43,I43,K43,M43,O43)</f>
      </c>
      <c r="D43" s="21">
        <f>SUM(F43,H43,J43,L43,N43,P43)</f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</row>
    <row r="44" spans="1:16" x14ac:dyDescent="0.25">
      <c r="A44" s="20"/>
      <c r="B44" s="20" t="s">
        <v>178</v>
      </c>
      <c r="C44" s="21">
        <f>SUM(E44,G44,I44,K44,M44,O44)</f>
      </c>
      <c r="D44" s="21">
        <f>SUM(F44,H44,J44,L44,N44,P44)</f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</row>
    <row r="45" spans="1:16" x14ac:dyDescent="0.25">
      <c r="A45" s="20"/>
      <c r="B45" s="20" t="s">
        <v>179</v>
      </c>
      <c r="C45" s="21">
        <f>SUM(E45,G45,I45,K45,M45,O45)</f>
      </c>
      <c r="D45" s="21">
        <f>SUM(F45,H45,J45,L45,N45,P45)</f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</row>
    <row r="46" spans="1:16" x14ac:dyDescent="0.25">
      <c r="A46" s="23" t="s">
        <v>79</v>
      </c>
      <c r="B46" s="23" t="s">
        <v>38</v>
      </c>
      <c r="C46" s="24">
        <f>SUM(C43:C45)</f>
      </c>
      <c r="D46" s="24">
        <f>SUM(D43:D45)</f>
      </c>
      <c r="E46" s="24">
        <f>SUM(E43:E45)</f>
      </c>
      <c r="F46" s="24">
        <f>SUM(F43:F45)</f>
      </c>
      <c r="G46" s="24">
        <f>SUM(G43:G45)</f>
      </c>
      <c r="H46" s="24">
        <f>SUM(H43:H45)</f>
      </c>
      <c r="I46" s="24">
        <f>SUM(I43:I45)</f>
      </c>
      <c r="J46" s="24">
        <f>SUM(J43:J45)</f>
      </c>
      <c r="K46" s="24">
        <f>SUM(K43:K45)</f>
      </c>
      <c r="L46" s="24">
        <f>SUM(L43:L45)</f>
      </c>
      <c r="M46" s="24">
        <f>SUM(M43:M45)</f>
      </c>
      <c r="N46" s="24">
        <f>SUM(N43:N45)</f>
      </c>
      <c r="O46" s="24">
        <f>SUM(O43:O45)</f>
      </c>
      <c r="P46" s="24">
        <f>SUM(P43:P45)</f>
      </c>
    </row>
    <row r="47" spans="1:16" x14ac:dyDescent="0.25">
      <c r="A47" s="20" t="s">
        <v>39</v>
      </c>
      <c r="B47" s="20" t="s">
        <v>177</v>
      </c>
      <c r="C47" s="21">
        <f>SUM(E47,G47,I47,K47,M47,O47)</f>
      </c>
      <c r="D47" s="21">
        <f>SUM(F47,H47,J47,L47,N47,P47)</f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</row>
    <row r="48" spans="1:16" x14ac:dyDescent="0.25">
      <c r="A48" s="20"/>
      <c r="B48" s="20" t="s">
        <v>178</v>
      </c>
      <c r="C48" s="21">
        <f>SUM(E48,G48,I48,K48,M48,O48)</f>
      </c>
      <c r="D48" s="21">
        <f>SUM(F48,H48,J48,L48,N48,P48)</f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</row>
    <row r="49" spans="1:16" x14ac:dyDescent="0.25">
      <c r="A49" s="20"/>
      <c r="B49" s="20" t="s">
        <v>179</v>
      </c>
      <c r="C49" s="21">
        <f>SUM(E49,G49,I49,K49,M49,O49)</f>
      </c>
      <c r="D49" s="21">
        <f>SUM(F49,H49,J49,L49,N49,P49)</f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</row>
    <row r="50" spans="1:16" x14ac:dyDescent="0.25">
      <c r="A50" s="23" t="s">
        <v>79</v>
      </c>
      <c r="B50" s="23" t="s">
        <v>39</v>
      </c>
      <c r="C50" s="24">
        <f>SUM(C47:C49)</f>
      </c>
      <c r="D50" s="24">
        <f>SUM(D47:D49)</f>
      </c>
      <c r="E50" s="24">
        <f>SUM(E47:E49)</f>
      </c>
      <c r="F50" s="24">
        <f>SUM(F47:F49)</f>
      </c>
      <c r="G50" s="24">
        <f>SUM(G47:G49)</f>
      </c>
      <c r="H50" s="24">
        <f>SUM(H47:H49)</f>
      </c>
      <c r="I50" s="24">
        <f>SUM(I47:I49)</f>
      </c>
      <c r="J50" s="24">
        <f>SUM(J47:J49)</f>
      </c>
      <c r="K50" s="24">
        <f>SUM(K47:K49)</f>
      </c>
      <c r="L50" s="24">
        <f>SUM(L47:L49)</f>
      </c>
      <c r="M50" s="24">
        <f>SUM(M47:M49)</f>
      </c>
      <c r="N50" s="24">
        <f>SUM(N47:N49)</f>
      </c>
      <c r="O50" s="24">
        <f>SUM(O47:O49)</f>
      </c>
      <c r="P50" s="24">
        <f>SUM(P47:P49)</f>
      </c>
    </row>
    <row r="51" spans="1:16" x14ac:dyDescent="0.25">
      <c r="A51" s="20" t="s">
        <v>40</v>
      </c>
      <c r="B51" s="20" t="s">
        <v>177</v>
      </c>
      <c r="C51" s="21">
        <f>SUM(E51,G51,I51,K51,M51,O51)</f>
      </c>
      <c r="D51" s="21">
        <f>SUM(F51,H51,J51,L51,N51,P51)</f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</row>
    <row r="52" spans="1:16" x14ac:dyDescent="0.25">
      <c r="A52" s="20"/>
      <c r="B52" s="20" t="s">
        <v>178</v>
      </c>
      <c r="C52" s="21">
        <f>SUM(E52,G52,I52,K52,M52,O52)</f>
      </c>
      <c r="D52" s="21">
        <f>SUM(F52,H52,J52,L52,N52,P52)</f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</row>
    <row r="53" spans="1:16" x14ac:dyDescent="0.25">
      <c r="A53" s="20"/>
      <c r="B53" s="20" t="s">
        <v>179</v>
      </c>
      <c r="C53" s="21">
        <f>SUM(E53,G53,I53,K53,M53,O53)</f>
      </c>
      <c r="D53" s="21">
        <f>SUM(F53,H53,J53,L53,N53,P53)</f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</row>
    <row r="54" spans="1:16" x14ac:dyDescent="0.25">
      <c r="A54" s="23" t="s">
        <v>79</v>
      </c>
      <c r="B54" s="23" t="s">
        <v>40</v>
      </c>
      <c r="C54" s="24">
        <f>SUM(C51:C53)</f>
      </c>
      <c r="D54" s="24">
        <f>SUM(D51:D53)</f>
      </c>
      <c r="E54" s="24">
        <f>SUM(E51:E53)</f>
      </c>
      <c r="F54" s="24">
        <f>SUM(F51:F53)</f>
      </c>
      <c r="G54" s="24">
        <f>SUM(G51:G53)</f>
      </c>
      <c r="H54" s="24">
        <f>SUM(H51:H53)</f>
      </c>
      <c r="I54" s="24">
        <f>SUM(I51:I53)</f>
      </c>
      <c r="J54" s="24">
        <f>SUM(J51:J53)</f>
      </c>
      <c r="K54" s="24">
        <f>SUM(K51:K53)</f>
      </c>
      <c r="L54" s="24">
        <f>SUM(L51:L53)</f>
      </c>
      <c r="M54" s="24">
        <f>SUM(M51:M53)</f>
      </c>
      <c r="N54" s="24">
        <f>SUM(N51:N53)</f>
      </c>
      <c r="O54" s="24">
        <f>SUM(O51:O53)</f>
      </c>
      <c r="P54" s="24">
        <f>SUM(P51:P53)</f>
      </c>
    </row>
    <row r="55" spans="1:16" x14ac:dyDescent="0.25">
      <c r="A55" s="23" t="s">
        <v>17</v>
      </c>
      <c r="B55" s="23" t="s">
        <v>183</v>
      </c>
      <c r="C55" s="24">
        <f>SUM(C46,C50,C54)</f>
      </c>
      <c r="D55" s="24">
        <f>SUM(D46,D50,D54)</f>
      </c>
      <c r="E55" s="24">
        <f>SUM(E46,E50,E54)</f>
      </c>
      <c r="F55" s="24">
        <f>SUM(F46,F50,F54)</f>
      </c>
      <c r="G55" s="24">
        <f>SUM(G46,G50,G54)</f>
      </c>
      <c r="H55" s="24">
        <f>SUM(H46,H50,H54)</f>
      </c>
      <c r="I55" s="24">
        <f>SUM(I46,I50,I54)</f>
      </c>
      <c r="J55" s="24">
        <f>SUM(J46,J50,J54)</f>
      </c>
      <c r="K55" s="24">
        <f>SUM(K46,K50,K54)</f>
      </c>
      <c r="L55" s="24">
        <f>SUM(L46,L50,L54)</f>
      </c>
      <c r="M55" s="24">
        <f>SUM(M46,M50,M54)</f>
      </c>
      <c r="N55" s="24">
        <f>SUM(N46,N50,N54)</f>
      </c>
      <c r="O55" s="24">
        <f>SUM(O46,O50,O54)</f>
      </c>
      <c r="P55" s="24">
        <f>SUM(P46,P50,P54)</f>
      </c>
    </row>
    <row r="58" spans="1:1" x14ac:dyDescent="0.25">
      <c r="A58" s="27" t="s">
        <v>184</v>
      </c>
    </row>
    <row r="59" spans="1:16" x14ac:dyDescent="0.25">
      <c r="A59" s="19" t="s">
        <v>168</v>
      </c>
      <c r="B59" s="19" t="s">
        <v>169</v>
      </c>
      <c r="C59" s="19" t="s">
        <v>170</v>
      </c>
      <c r="D59" s="19"/>
      <c r="E59" s="19" t="s">
        <v>171</v>
      </c>
      <c r="F59" s="19"/>
      <c r="G59" s="19" t="s">
        <v>172</v>
      </c>
      <c r="H59" s="19"/>
      <c r="I59" s="19" t="s">
        <v>173</v>
      </c>
      <c r="J59" s="19"/>
      <c r="K59" s="19" t="s">
        <v>174</v>
      </c>
      <c r="L59" s="19"/>
      <c r="M59" s="19" t="s">
        <v>175</v>
      </c>
      <c r="N59" s="19"/>
      <c r="O59" s="19" t="s">
        <v>176</v>
      </c>
      <c r="P59" s="19"/>
    </row>
    <row r="60" spans="1:16" x14ac:dyDescent="0.25">
      <c r="A60" s="19"/>
      <c r="B60" s="19"/>
      <c r="C60" s="19" t="s">
        <v>33</v>
      </c>
      <c r="D60" s="19" t="s">
        <v>34</v>
      </c>
      <c r="E60" s="19" t="s">
        <v>35</v>
      </c>
      <c r="F60" s="19" t="s">
        <v>36</v>
      </c>
      <c r="G60" s="19" t="s">
        <v>35</v>
      </c>
      <c r="H60" s="19" t="s">
        <v>36</v>
      </c>
      <c r="I60" s="19" t="s">
        <v>35</v>
      </c>
      <c r="J60" s="19" t="s">
        <v>36</v>
      </c>
      <c r="K60" s="19" t="s">
        <v>35</v>
      </c>
      <c r="L60" s="19" t="s">
        <v>36</v>
      </c>
      <c r="M60" s="19" t="s">
        <v>35</v>
      </c>
      <c r="N60" s="19" t="s">
        <v>36</v>
      </c>
      <c r="O60" s="19" t="s">
        <v>35</v>
      </c>
      <c r="P60" s="19" t="s">
        <v>36</v>
      </c>
    </row>
    <row r="61" spans="1:16" x14ac:dyDescent="0.25">
      <c r="A61" s="20" t="s">
        <v>38</v>
      </c>
      <c r="B61" s="20" t="s">
        <v>177</v>
      </c>
      <c r="C61" s="21">
        <f>SUM(E61,G61,I61,K61,M61,O61)</f>
      </c>
      <c r="D61" s="21">
        <f>SUM(F61,H61,J61,L61,N61,P61)</f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</row>
    <row r="62" spans="1:16" x14ac:dyDescent="0.25">
      <c r="A62" s="20"/>
      <c r="B62" s="20" t="s">
        <v>178</v>
      </c>
      <c r="C62" s="21">
        <f>SUM(E62,G62,I62,K62,M62,O62)</f>
      </c>
      <c r="D62" s="21">
        <f>SUM(F62,H62,J62,L62,N62,P62)</f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</row>
    <row r="63" spans="1:16" x14ac:dyDescent="0.25">
      <c r="A63" s="20"/>
      <c r="B63" s="20" t="s">
        <v>179</v>
      </c>
      <c r="C63" s="21">
        <f>SUM(E63,G63,I63,K63,M63,O63)</f>
      </c>
      <c r="D63" s="21">
        <f>SUM(F63,H63,J63,L63,N63,P63)</f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</row>
    <row r="64" spans="1:16" x14ac:dyDescent="0.25">
      <c r="A64" s="23" t="s">
        <v>79</v>
      </c>
      <c r="B64" s="23" t="s">
        <v>38</v>
      </c>
      <c r="C64" s="24">
        <f>SUM(C61:C63)</f>
      </c>
      <c r="D64" s="24">
        <f>SUM(D61:D63)</f>
      </c>
      <c r="E64" s="24">
        <f>SUM(E61:E63)</f>
      </c>
      <c r="F64" s="24">
        <f>SUM(F61:F63)</f>
      </c>
      <c r="G64" s="24">
        <f>SUM(G61:G63)</f>
      </c>
      <c r="H64" s="24">
        <f>SUM(H61:H63)</f>
      </c>
      <c r="I64" s="24">
        <f>SUM(I61:I63)</f>
      </c>
      <c r="J64" s="24">
        <f>SUM(J61:J63)</f>
      </c>
      <c r="K64" s="24">
        <f>SUM(K61:K63)</f>
      </c>
      <c r="L64" s="24">
        <f>SUM(L61:L63)</f>
      </c>
      <c r="M64" s="24">
        <f>SUM(M61:M63)</f>
      </c>
      <c r="N64" s="24">
        <f>SUM(N61:N63)</f>
      </c>
      <c r="O64" s="24">
        <f>SUM(O61:O63)</f>
      </c>
      <c r="P64" s="24">
        <f>SUM(P61:P63)</f>
      </c>
    </row>
    <row r="65" spans="1:16" x14ac:dyDescent="0.25">
      <c r="A65" s="20" t="s">
        <v>39</v>
      </c>
      <c r="B65" s="20" t="s">
        <v>177</v>
      </c>
      <c r="C65" s="21">
        <f>SUM(E65,G65,I65,K65,M65,O65)</f>
      </c>
      <c r="D65" s="21">
        <f>SUM(F65,H65,J65,L65,N65,P65)</f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</row>
    <row r="66" spans="1:16" x14ac:dyDescent="0.25">
      <c r="A66" s="20"/>
      <c r="B66" s="20" t="s">
        <v>178</v>
      </c>
      <c r="C66" s="21">
        <f>SUM(E66,G66,I66,K66,M66,O66)</f>
      </c>
      <c r="D66" s="21">
        <f>SUM(F66,H66,J66,L66,N66,P66)</f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</row>
    <row r="67" spans="1:16" x14ac:dyDescent="0.25">
      <c r="A67" s="20"/>
      <c r="B67" s="20" t="s">
        <v>179</v>
      </c>
      <c r="C67" s="21">
        <f>SUM(E67,G67,I67,K67,M67,O67)</f>
      </c>
      <c r="D67" s="21">
        <f>SUM(F67,H67,J67,L67,N67,P67)</f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</row>
    <row r="68" spans="1:16" x14ac:dyDescent="0.25">
      <c r="A68" s="23" t="s">
        <v>79</v>
      </c>
      <c r="B68" s="23" t="s">
        <v>39</v>
      </c>
      <c r="C68" s="24">
        <f>SUM(C65:C67)</f>
      </c>
      <c r="D68" s="24">
        <f>SUM(D65:D67)</f>
      </c>
      <c r="E68" s="24">
        <f>SUM(E65:E67)</f>
      </c>
      <c r="F68" s="24">
        <f>SUM(F65:F67)</f>
      </c>
      <c r="G68" s="24">
        <f>SUM(G65:G67)</f>
      </c>
      <c r="H68" s="24">
        <f>SUM(H65:H67)</f>
      </c>
      <c r="I68" s="24">
        <f>SUM(I65:I67)</f>
      </c>
      <c r="J68" s="24">
        <f>SUM(J65:J67)</f>
      </c>
      <c r="K68" s="24">
        <f>SUM(K65:K67)</f>
      </c>
      <c r="L68" s="24">
        <f>SUM(L65:L67)</f>
      </c>
      <c r="M68" s="24">
        <f>SUM(M65:M67)</f>
      </c>
      <c r="N68" s="24">
        <f>SUM(N65:N67)</f>
      </c>
      <c r="O68" s="24">
        <f>SUM(O65:O67)</f>
      </c>
      <c r="P68" s="24">
        <f>SUM(P65:P67)</f>
      </c>
    </row>
    <row r="69" spans="1:16" x14ac:dyDescent="0.25">
      <c r="A69" s="20" t="s">
        <v>40</v>
      </c>
      <c r="B69" s="20" t="s">
        <v>177</v>
      </c>
      <c r="C69" s="21">
        <f>SUM(E69,G69,I69,K69,M69,O69)</f>
      </c>
      <c r="D69" s="21">
        <f>SUM(F69,H69,J69,L69,N69,P69)</f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</row>
    <row r="70" spans="1:16" x14ac:dyDescent="0.25">
      <c r="A70" s="20"/>
      <c r="B70" s="20" t="s">
        <v>178</v>
      </c>
      <c r="C70" s="21">
        <f>SUM(E70,G70,I70,K70,M70,O70)</f>
      </c>
      <c r="D70" s="21">
        <f>SUM(F70,H70,J70,L70,N70,P70)</f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</row>
    <row r="71" spans="1:16" x14ac:dyDescent="0.25">
      <c r="A71" s="20"/>
      <c r="B71" s="20" t="s">
        <v>179</v>
      </c>
      <c r="C71" s="21">
        <f>SUM(E71,G71,I71,K71,M71,O71)</f>
      </c>
      <c r="D71" s="21">
        <f>SUM(F71,H71,J71,L71,N71,P71)</f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</row>
    <row r="72" spans="1:16" x14ac:dyDescent="0.25">
      <c r="A72" s="23" t="s">
        <v>79</v>
      </c>
      <c r="B72" s="23" t="s">
        <v>40</v>
      </c>
      <c r="C72" s="24">
        <f>SUM(C69:C71)</f>
      </c>
      <c r="D72" s="24">
        <f>SUM(D69:D71)</f>
      </c>
      <c r="E72" s="24">
        <f>SUM(E69:E71)</f>
      </c>
      <c r="F72" s="24">
        <f>SUM(F69:F71)</f>
      </c>
      <c r="G72" s="24">
        <f>SUM(G69:G71)</f>
      </c>
      <c r="H72" s="24">
        <f>SUM(H69:H71)</f>
      </c>
      <c r="I72" s="24">
        <f>SUM(I69:I71)</f>
      </c>
      <c r="J72" s="24">
        <f>SUM(J69:J71)</f>
      </c>
      <c r="K72" s="24">
        <f>SUM(K69:K71)</f>
      </c>
      <c r="L72" s="24">
        <f>SUM(L69:L71)</f>
      </c>
      <c r="M72" s="24">
        <f>SUM(M69:M71)</f>
      </c>
      <c r="N72" s="24">
        <f>SUM(N69:N71)</f>
      </c>
      <c r="O72" s="24">
        <f>SUM(O69:O71)</f>
      </c>
      <c r="P72" s="24">
        <f>SUM(P69:P71)</f>
      </c>
    </row>
    <row r="73" spans="1:16" x14ac:dyDescent="0.25">
      <c r="A73" s="23" t="s">
        <v>17</v>
      </c>
      <c r="B73" s="23" t="s">
        <v>185</v>
      </c>
      <c r="C73" s="24">
        <f>SUM(C64,C68,C72)</f>
      </c>
      <c r="D73" s="24">
        <f>SUM(D64,D68,D72)</f>
      </c>
      <c r="E73" s="24">
        <f>SUM(E64,E68,E72)</f>
      </c>
      <c r="F73" s="24">
        <f>SUM(F64,F68,F72)</f>
      </c>
      <c r="G73" s="24">
        <f>SUM(G64,G68,G72)</f>
      </c>
      <c r="H73" s="24">
        <f>SUM(H64,H68,H72)</f>
      </c>
      <c r="I73" s="24">
        <f>SUM(I64,I68,I72)</f>
      </c>
      <c r="J73" s="24">
        <f>SUM(J64,J68,J72)</f>
      </c>
      <c r="K73" s="24">
        <f>SUM(K64,K68,K72)</f>
      </c>
      <c r="L73" s="24">
        <f>SUM(L64,L68,L72)</f>
      </c>
      <c r="M73" s="24">
        <f>SUM(M64,M68,M72)</f>
      </c>
      <c r="N73" s="24">
        <f>SUM(N64,N68,N72)</f>
      </c>
      <c r="O73" s="24">
        <f>SUM(O64,O68,O72)</f>
      </c>
      <c r="P73" s="24">
        <f>SUM(P64,P68,P72)</f>
      </c>
    </row>
    <row r="76" spans="1:4" x14ac:dyDescent="0.25">
      <c r="A76" s="26" t="s">
        <v>186</v>
      </c>
      <c r="B76" s="26"/>
      <c r="C76" s="26"/>
      <c r="D76" s="26"/>
    </row>
    <row r="77" spans="1:4" x14ac:dyDescent="0.25">
      <c r="A77" s="19" t="s">
        <v>187</v>
      </c>
      <c r="B77" s="19" t="s">
        <v>145</v>
      </c>
      <c r="C77" s="19" t="s">
        <v>188</v>
      </c>
      <c r="D77" s="19" t="s">
        <v>189</v>
      </c>
    </row>
    <row r="78" spans="1:4" x14ac:dyDescent="0.25">
      <c r="A78" s="20" t="s">
        <v>190</v>
      </c>
      <c r="B78" s="20" t="s">
        <v>191</v>
      </c>
      <c r="C78" s="21">
        <f>C19</f>
      </c>
      <c r="D78" s="21">
        <f>D19</f>
      </c>
    </row>
    <row r="79" spans="1:4" x14ac:dyDescent="0.25">
      <c r="A79" s="20" t="s">
        <v>72</v>
      </c>
      <c r="B79" s="20" t="s">
        <v>191</v>
      </c>
      <c r="C79" s="21">
        <f>C37</f>
      </c>
      <c r="D79" s="21">
        <f>D37</f>
      </c>
    </row>
    <row r="80" spans="1:4" x14ac:dyDescent="0.25">
      <c r="A80" s="20" t="s">
        <v>192</v>
      </c>
      <c r="B80" s="20" t="s">
        <v>191</v>
      </c>
      <c r="C80" s="21">
        <f>C55</f>
      </c>
      <c r="D80" s="21">
        <f>D55</f>
      </c>
    </row>
    <row r="81" spans="1:4" x14ac:dyDescent="0.25">
      <c r="A81" s="20" t="s">
        <v>193</v>
      </c>
      <c r="B81" s="20" t="s">
        <v>191</v>
      </c>
      <c r="C81" s="21">
        <f>C73</f>
      </c>
      <c r="D81" s="21">
        <f>D73</f>
      </c>
    </row>
    <row r="82" spans="1:4" x14ac:dyDescent="0.25">
      <c r="A82" s="23" t="s">
        <v>46</v>
      </c>
      <c r="B82" s="23" t="s">
        <v>165</v>
      </c>
      <c r="C82" s="24">
        <f>SUM(C78:C81)</f>
      </c>
      <c r="D82" s="24">
        <f>SUM(D78:D81)</f>
      </c>
    </row>
  </sheetData>
  <mergeCells count="50">
    <mergeCell ref="A2:P2"/>
    <mergeCell ref="C5:D5"/>
    <mergeCell ref="E5:F5"/>
    <mergeCell ref="G5:H5"/>
    <mergeCell ref="I5:J5"/>
    <mergeCell ref="K5:L5"/>
    <mergeCell ref="M5:N5"/>
    <mergeCell ref="O5:P5"/>
    <mergeCell ref="A5:A6"/>
    <mergeCell ref="B5:B6"/>
    <mergeCell ref="A7:A9"/>
    <mergeCell ref="A11:A13"/>
    <mergeCell ref="A15:A17"/>
    <mergeCell ref="C23:D23"/>
    <mergeCell ref="E23:F23"/>
    <mergeCell ref="G23:H23"/>
    <mergeCell ref="I23:J23"/>
    <mergeCell ref="K23:L23"/>
    <mergeCell ref="M23:N23"/>
    <mergeCell ref="O23:P23"/>
    <mergeCell ref="A23:A24"/>
    <mergeCell ref="B23:B24"/>
    <mergeCell ref="A25:A27"/>
    <mergeCell ref="A29:A31"/>
    <mergeCell ref="A33:A35"/>
    <mergeCell ref="C41:D41"/>
    <mergeCell ref="E41:F41"/>
    <mergeCell ref="G41:H41"/>
    <mergeCell ref="I41:J41"/>
    <mergeCell ref="K41:L41"/>
    <mergeCell ref="M41:N41"/>
    <mergeCell ref="O41:P41"/>
    <mergeCell ref="A41:A42"/>
    <mergeCell ref="B41:B42"/>
    <mergeCell ref="A43:A45"/>
    <mergeCell ref="A47:A49"/>
    <mergeCell ref="A51:A53"/>
    <mergeCell ref="C59:D59"/>
    <mergeCell ref="E59:F59"/>
    <mergeCell ref="G59:H59"/>
    <mergeCell ref="I59:J59"/>
    <mergeCell ref="K59:L59"/>
    <mergeCell ref="M59:N59"/>
    <mergeCell ref="O59:P59"/>
    <mergeCell ref="A59:A60"/>
    <mergeCell ref="B59:B60"/>
    <mergeCell ref="A61:A63"/>
    <mergeCell ref="A65:A67"/>
    <mergeCell ref="A69:A71"/>
    <mergeCell ref="A76:D76"/>
  </mergeCells>
  <dataValidations count="216">
    <dataValidation type="whole" operator="lessThanOrEqual" allowBlank="1" showErrorMessage="1" errorTitle="Mensagem de Erro" error="F não pode ser Superior a MF" sqref="F11">
      <formula1>E11</formula1>
    </dataValidation>
    <dataValidation type="whole" operator="lessThanOrEqual" allowBlank="1" showErrorMessage="1" errorTitle="Mensagem de Erro" error="F não pode ser Superior a MF" sqref="F12">
      <formula1>E12</formula1>
    </dataValidation>
    <dataValidation type="whole" operator="lessThanOrEqual" allowBlank="1" showErrorMessage="1" errorTitle="Mensagem de Erro" error="F não pode ser Superior a MF" sqref="F13">
      <formula1>E13</formula1>
    </dataValidation>
    <dataValidation type="whole" operator="lessThanOrEqual" allowBlank="1" showErrorMessage="1" errorTitle="Mensagem de Erro" error="F não pode ser Superior a MF" sqref="F15">
      <formula1>E15</formula1>
    </dataValidation>
    <dataValidation type="whole" operator="lessThanOrEqual" allowBlank="1" showErrorMessage="1" errorTitle="Mensagem de Erro" error="F não pode ser Superior a MF" sqref="F16">
      <formula1>E16</formula1>
    </dataValidation>
    <dataValidation type="whole" operator="lessThanOrEqual" allowBlank="1" showErrorMessage="1" errorTitle="Mensagem de Erro" error="F não pode ser Superior a MF" sqref="F17">
      <formula1>E17</formula1>
    </dataValidation>
    <dataValidation type="whole" operator="lessThanOrEqual" allowBlank="1" showErrorMessage="1" errorTitle="Mensagem de Erro" error="F não pode ser Superior a MF" sqref="F25">
      <formula1>E25</formula1>
    </dataValidation>
    <dataValidation type="whole" operator="lessThanOrEqual" allowBlank="1" showErrorMessage="1" errorTitle="Mensagem de Erro" error="F não pode ser Superior a MF" sqref="F26">
      <formula1>E26</formula1>
    </dataValidation>
    <dataValidation type="whole" operator="lessThanOrEqual" allowBlank="1" showErrorMessage="1" errorTitle="Mensagem de Erro" error="F não pode ser Superior a MF" sqref="F27">
      <formula1>E27</formula1>
    </dataValidation>
    <dataValidation type="whole" operator="lessThanOrEqual" allowBlank="1" showErrorMessage="1" errorTitle="Mensagem de Erro" error="F não pode ser Superior a MF" sqref="F29">
      <formula1>E29</formula1>
    </dataValidation>
    <dataValidation type="whole" operator="lessThanOrEqual" allowBlank="1" showErrorMessage="1" errorTitle="Mensagem de Erro" error="F não pode ser Superior a MF" sqref="F30">
      <formula1>E30</formula1>
    </dataValidation>
    <dataValidation type="whole" operator="lessThanOrEqual" allowBlank="1" showErrorMessage="1" errorTitle="Mensagem de Erro" error="F não pode ser Superior a MF" sqref="F31">
      <formula1>E31</formula1>
    </dataValidation>
    <dataValidation type="whole" operator="lessThanOrEqual" allowBlank="1" showErrorMessage="1" errorTitle="Mensagem de Erro" error="F não pode ser Superior a MF" sqref="F33">
      <formula1>E33</formula1>
    </dataValidation>
    <dataValidation type="whole" operator="lessThanOrEqual" allowBlank="1" showErrorMessage="1" errorTitle="Mensagem de Erro" error="F não pode ser Superior a MF" sqref="F34">
      <formula1>E34</formula1>
    </dataValidation>
    <dataValidation type="whole" operator="lessThanOrEqual" allowBlank="1" showErrorMessage="1" errorTitle="Mensagem de Erro" error="F não pode ser Superior a MF" sqref="F35">
      <formula1>E35</formula1>
    </dataValidation>
    <dataValidation type="whole" operator="lessThanOrEqual" allowBlank="1" showErrorMessage="1" errorTitle="Mensagem de Erro" error="F não pode ser Superior a MF" sqref="F43">
      <formula1>E43</formula1>
    </dataValidation>
    <dataValidation type="whole" operator="lessThanOrEqual" allowBlank="1" showErrorMessage="1" errorTitle="Mensagem de Erro" error="F não pode ser Superior a MF" sqref="F44">
      <formula1>E44</formula1>
    </dataValidation>
    <dataValidation type="whole" operator="lessThanOrEqual" allowBlank="1" showErrorMessage="1" errorTitle="Mensagem de Erro" error="F não pode ser Superior a MF" sqref="F45">
      <formula1>E45</formula1>
    </dataValidation>
    <dataValidation type="whole" operator="lessThanOrEqual" allowBlank="1" showErrorMessage="1" errorTitle="Mensagem de Erro" error="F não pode ser Superior a MF" sqref="F47">
      <formula1>E47</formula1>
    </dataValidation>
    <dataValidation type="whole" operator="lessThanOrEqual" allowBlank="1" showErrorMessage="1" errorTitle="Mensagem de Erro" error="F não pode ser Superior a MF" sqref="F48">
      <formula1>E48</formula1>
    </dataValidation>
    <dataValidation type="whole" operator="lessThanOrEqual" allowBlank="1" showErrorMessage="1" errorTitle="Mensagem de Erro" error="F não pode ser Superior a MF" sqref="F49">
      <formula1>E49</formula1>
    </dataValidation>
    <dataValidation type="whole" operator="lessThanOrEqual" allowBlank="1" showErrorMessage="1" errorTitle="Mensagem de Erro" error="F não pode ser Superior a MF" sqref="F51">
      <formula1>E51</formula1>
    </dataValidation>
    <dataValidation type="whole" operator="lessThanOrEqual" allowBlank="1" showErrorMessage="1" errorTitle="Mensagem de Erro" error="F não pode ser Superior a MF" sqref="F52">
      <formula1>E52</formula1>
    </dataValidation>
    <dataValidation type="whole" operator="lessThanOrEqual" allowBlank="1" showErrorMessage="1" errorTitle="Mensagem de Erro" error="F não pode ser Superior a MF" sqref="F53">
      <formula1>E53</formula1>
    </dataValidation>
    <dataValidation type="whole" operator="lessThanOrEqual" allowBlank="1" showErrorMessage="1" errorTitle="Mensagem de Erro" error="F não pode ser Superior a MF" sqref="F61">
      <formula1>E61</formula1>
    </dataValidation>
    <dataValidation type="whole" operator="lessThanOrEqual" allowBlank="1" showErrorMessage="1" errorTitle="Mensagem de Erro" error="F não pode ser Superior a MF" sqref="F62">
      <formula1>E62</formula1>
    </dataValidation>
    <dataValidation type="whole" operator="lessThanOrEqual" allowBlank="1" showErrorMessage="1" errorTitle="Mensagem de Erro" error="F não pode ser Superior a MF" sqref="F63">
      <formula1>E63</formula1>
    </dataValidation>
    <dataValidation type="whole" operator="lessThanOrEqual" allowBlank="1" showErrorMessage="1" errorTitle="Mensagem de Erro" error="F não pode ser Superior a MF" sqref="F65">
      <formula1>E65</formula1>
    </dataValidation>
    <dataValidation type="whole" operator="lessThanOrEqual" allowBlank="1" showErrorMessage="1" errorTitle="Mensagem de Erro" error="F não pode ser Superior a MF" sqref="F66">
      <formula1>E66</formula1>
    </dataValidation>
    <dataValidation type="whole" operator="lessThanOrEqual" allowBlank="1" showErrorMessage="1" errorTitle="Mensagem de Erro" error="F não pode ser Superior a MF" sqref="F67">
      <formula1>E67</formula1>
    </dataValidation>
    <dataValidation type="whole" operator="lessThanOrEqual" allowBlank="1" showErrorMessage="1" errorTitle="Mensagem de Erro" error="F não pode ser Superior a MF" sqref="F69">
      <formula1>E69</formula1>
    </dataValidation>
    <dataValidation type="whole" operator="lessThanOrEqual" allowBlank="1" showErrorMessage="1" errorTitle="Mensagem de Erro" error="F não pode ser Superior a MF" sqref="F7">
      <formula1>E7</formula1>
    </dataValidation>
    <dataValidation type="whole" operator="lessThanOrEqual" allowBlank="1" showErrorMessage="1" errorTitle="Mensagem de Erro" error="F não pode ser Superior a MF" sqref="F70">
      <formula1>E70</formula1>
    </dataValidation>
    <dataValidation type="whole" operator="lessThanOrEqual" allowBlank="1" showErrorMessage="1" errorTitle="Mensagem de Erro" error="F não pode ser Superior a MF" sqref="F71">
      <formula1>E71</formula1>
    </dataValidation>
    <dataValidation type="whole" operator="lessThanOrEqual" allowBlank="1" showErrorMessage="1" errorTitle="Mensagem de Erro" error="F não pode ser Superior a MF" sqref="F8">
      <formula1>E8</formula1>
    </dataValidation>
    <dataValidation type="whole" operator="lessThanOrEqual" allowBlank="1" showErrorMessage="1" errorTitle="Mensagem de Erro" error="F não pode ser Superior a MF" sqref="F9">
      <formula1>E9</formula1>
    </dataValidation>
    <dataValidation type="whole" operator="lessThanOrEqual" allowBlank="1" showErrorMessage="1" errorTitle="Mensagem de Erro" error="F não pode ser Superior a MF" sqref="H11">
      <formula1>G11</formula1>
    </dataValidation>
    <dataValidation type="whole" operator="lessThanOrEqual" allowBlank="1" showErrorMessage="1" errorTitle="Mensagem de Erro" error="F não pode ser Superior a MF" sqref="H12">
      <formula1>G12</formula1>
    </dataValidation>
    <dataValidation type="whole" operator="lessThanOrEqual" allowBlank="1" showErrorMessage="1" errorTitle="Mensagem de Erro" error="F não pode ser Superior a MF" sqref="H13">
      <formula1>G13</formula1>
    </dataValidation>
    <dataValidation type="whole" operator="lessThanOrEqual" allowBlank="1" showErrorMessage="1" errorTitle="Mensagem de Erro" error="F não pode ser Superior a MF" sqref="H15">
      <formula1>G15</formula1>
    </dataValidation>
    <dataValidation type="whole" operator="lessThanOrEqual" allowBlank="1" showErrorMessage="1" errorTitle="Mensagem de Erro" error="F não pode ser Superior a MF" sqref="H16">
      <formula1>G16</formula1>
    </dataValidation>
    <dataValidation type="whole" operator="lessThanOrEqual" allowBlank="1" showErrorMessage="1" errorTitle="Mensagem de Erro" error="F não pode ser Superior a MF" sqref="H17">
      <formula1>G17</formula1>
    </dataValidation>
    <dataValidation type="whole" operator="lessThanOrEqual" allowBlank="1" showErrorMessage="1" errorTitle="Mensagem de Erro" error="F não pode ser Superior a MF" sqref="H25">
      <formula1>G25</formula1>
    </dataValidation>
    <dataValidation type="whole" operator="lessThanOrEqual" allowBlank="1" showErrorMessage="1" errorTitle="Mensagem de Erro" error="F não pode ser Superior a MF" sqref="H26">
      <formula1>G26</formula1>
    </dataValidation>
    <dataValidation type="whole" operator="lessThanOrEqual" allowBlank="1" showErrorMessage="1" errorTitle="Mensagem de Erro" error="F não pode ser Superior a MF" sqref="H27">
      <formula1>G27</formula1>
    </dataValidation>
    <dataValidation type="whole" operator="lessThanOrEqual" allowBlank="1" showErrorMessage="1" errorTitle="Mensagem de Erro" error="F não pode ser Superior a MF" sqref="H29">
      <formula1>G29</formula1>
    </dataValidation>
    <dataValidation type="whole" operator="lessThanOrEqual" allowBlank="1" showErrorMessage="1" errorTitle="Mensagem de Erro" error="F não pode ser Superior a MF" sqref="H30">
      <formula1>G30</formula1>
    </dataValidation>
    <dataValidation type="whole" operator="lessThanOrEqual" allowBlank="1" showErrorMessage="1" errorTitle="Mensagem de Erro" error="F não pode ser Superior a MF" sqref="H31">
      <formula1>G31</formula1>
    </dataValidation>
    <dataValidation type="whole" operator="lessThanOrEqual" allowBlank="1" showErrorMessage="1" errorTitle="Mensagem de Erro" error="F não pode ser Superior a MF" sqref="H33">
      <formula1>G33</formula1>
    </dataValidation>
    <dataValidation type="whole" operator="lessThanOrEqual" allowBlank="1" showErrorMessage="1" errorTitle="Mensagem de Erro" error="F não pode ser Superior a MF" sqref="H34">
      <formula1>G34</formula1>
    </dataValidation>
    <dataValidation type="whole" operator="lessThanOrEqual" allowBlank="1" showErrorMessage="1" errorTitle="Mensagem de Erro" error="F não pode ser Superior a MF" sqref="H35">
      <formula1>G35</formula1>
    </dataValidation>
    <dataValidation type="whole" operator="lessThanOrEqual" allowBlank="1" showErrorMessage="1" errorTitle="Mensagem de Erro" error="F não pode ser Superior a MF" sqref="H43">
      <formula1>G43</formula1>
    </dataValidation>
    <dataValidation type="whole" operator="lessThanOrEqual" allowBlank="1" showErrorMessage="1" errorTitle="Mensagem de Erro" error="F não pode ser Superior a MF" sqref="H44">
      <formula1>G44</formula1>
    </dataValidation>
    <dataValidation type="whole" operator="lessThanOrEqual" allowBlank="1" showErrorMessage="1" errorTitle="Mensagem de Erro" error="F não pode ser Superior a MF" sqref="H45">
      <formula1>G45</formula1>
    </dataValidation>
    <dataValidation type="whole" operator="lessThanOrEqual" allowBlank="1" showErrorMessage="1" errorTitle="Mensagem de Erro" error="F não pode ser Superior a MF" sqref="H47">
      <formula1>G47</formula1>
    </dataValidation>
    <dataValidation type="whole" operator="lessThanOrEqual" allowBlank="1" showErrorMessage="1" errorTitle="Mensagem de Erro" error="F não pode ser Superior a MF" sqref="H48">
      <formula1>G48</formula1>
    </dataValidation>
    <dataValidation type="whole" operator="lessThanOrEqual" allowBlank="1" showErrorMessage="1" errorTitle="Mensagem de Erro" error="F não pode ser Superior a MF" sqref="H49">
      <formula1>G49</formula1>
    </dataValidation>
    <dataValidation type="whole" operator="lessThanOrEqual" allowBlank="1" showErrorMessage="1" errorTitle="Mensagem de Erro" error="F não pode ser Superior a MF" sqref="H51">
      <formula1>G51</formula1>
    </dataValidation>
    <dataValidation type="whole" operator="lessThanOrEqual" allowBlank="1" showErrorMessage="1" errorTitle="Mensagem de Erro" error="F não pode ser Superior a MF" sqref="H52">
      <formula1>G52</formula1>
    </dataValidation>
    <dataValidation type="whole" operator="lessThanOrEqual" allowBlank="1" showErrorMessage="1" errorTitle="Mensagem de Erro" error="F não pode ser Superior a MF" sqref="H53">
      <formula1>G53</formula1>
    </dataValidation>
    <dataValidation type="whole" operator="lessThanOrEqual" allowBlank="1" showErrorMessage="1" errorTitle="Mensagem de Erro" error="F não pode ser Superior a MF" sqref="H61">
      <formula1>G61</formula1>
    </dataValidation>
    <dataValidation type="whole" operator="lessThanOrEqual" allowBlank="1" showErrorMessage="1" errorTitle="Mensagem de Erro" error="F não pode ser Superior a MF" sqref="H62">
      <formula1>G62</formula1>
    </dataValidation>
    <dataValidation type="whole" operator="lessThanOrEqual" allowBlank="1" showErrorMessage="1" errorTitle="Mensagem de Erro" error="F não pode ser Superior a MF" sqref="H63">
      <formula1>G63</formula1>
    </dataValidation>
    <dataValidation type="whole" operator="lessThanOrEqual" allowBlank="1" showErrorMessage="1" errorTitle="Mensagem de Erro" error="F não pode ser Superior a MF" sqref="H65">
      <formula1>G65</formula1>
    </dataValidation>
    <dataValidation type="whole" operator="lessThanOrEqual" allowBlank="1" showErrorMessage="1" errorTitle="Mensagem de Erro" error="F não pode ser Superior a MF" sqref="H66">
      <formula1>G66</formula1>
    </dataValidation>
    <dataValidation type="whole" operator="lessThanOrEqual" allowBlank="1" showErrorMessage="1" errorTitle="Mensagem de Erro" error="F não pode ser Superior a MF" sqref="H67">
      <formula1>G67</formula1>
    </dataValidation>
    <dataValidation type="whole" operator="lessThanOrEqual" allowBlank="1" showErrorMessage="1" errorTitle="Mensagem de Erro" error="F não pode ser Superior a MF" sqref="H69">
      <formula1>G69</formula1>
    </dataValidation>
    <dataValidation type="whole" operator="lessThanOrEqual" allowBlank="1" showErrorMessage="1" errorTitle="Mensagem de Erro" error="F não pode ser Superior a MF" sqref="H7">
      <formula1>G7</formula1>
    </dataValidation>
    <dataValidation type="whole" operator="lessThanOrEqual" allowBlank="1" showErrorMessage="1" errorTitle="Mensagem de Erro" error="F não pode ser Superior a MF" sqref="H70">
      <formula1>G70</formula1>
    </dataValidation>
    <dataValidation type="whole" operator="lessThanOrEqual" allowBlank="1" showErrorMessage="1" errorTitle="Mensagem de Erro" error="F não pode ser Superior a MF" sqref="H71">
      <formula1>G71</formula1>
    </dataValidation>
    <dataValidation type="whole" operator="lessThanOrEqual" allowBlank="1" showErrorMessage="1" errorTitle="Mensagem de Erro" error="F não pode ser Superior a MF" sqref="H8">
      <formula1>G8</formula1>
    </dataValidation>
    <dataValidation type="whole" operator="lessThanOrEqual" allowBlank="1" showErrorMessage="1" errorTitle="Mensagem de Erro" error="F não pode ser Superior a MF" sqref="H9">
      <formula1>G9</formula1>
    </dataValidation>
    <dataValidation type="whole" operator="lessThanOrEqual" allowBlank="1" showErrorMessage="1" errorTitle="Mensagem de Erro" error="F não pode ser Superior a MF" sqref="J11">
      <formula1>I11</formula1>
    </dataValidation>
    <dataValidation type="whole" operator="lessThanOrEqual" allowBlank="1" showErrorMessage="1" errorTitle="Mensagem de Erro" error="F não pode ser Superior a MF" sqref="J12">
      <formula1>I12</formula1>
    </dataValidation>
    <dataValidation type="whole" operator="lessThanOrEqual" allowBlank="1" showErrorMessage="1" errorTitle="Mensagem de Erro" error="F não pode ser Superior a MF" sqref="J13">
      <formula1>I13</formula1>
    </dataValidation>
    <dataValidation type="whole" operator="lessThanOrEqual" allowBlank="1" showErrorMessage="1" errorTitle="Mensagem de Erro" error="F não pode ser Superior a MF" sqref="J15">
      <formula1>I15</formula1>
    </dataValidation>
    <dataValidation type="whole" operator="lessThanOrEqual" allowBlank="1" showErrorMessage="1" errorTitle="Mensagem de Erro" error="F não pode ser Superior a MF" sqref="J16">
      <formula1>I16</formula1>
    </dataValidation>
    <dataValidation type="whole" operator="lessThanOrEqual" allowBlank="1" showErrorMessage="1" errorTitle="Mensagem de Erro" error="F não pode ser Superior a MF" sqref="J17">
      <formula1>I17</formula1>
    </dataValidation>
    <dataValidation type="whole" operator="lessThanOrEqual" allowBlank="1" showErrorMessage="1" errorTitle="Mensagem de Erro" error="F não pode ser Superior a MF" sqref="J25">
      <formula1>I25</formula1>
    </dataValidation>
    <dataValidation type="whole" operator="lessThanOrEqual" allowBlank="1" showErrorMessage="1" errorTitle="Mensagem de Erro" error="F não pode ser Superior a MF" sqref="J26">
      <formula1>I26</formula1>
    </dataValidation>
    <dataValidation type="whole" operator="lessThanOrEqual" allowBlank="1" showErrorMessage="1" errorTitle="Mensagem de Erro" error="F não pode ser Superior a MF" sqref="J27">
      <formula1>I27</formula1>
    </dataValidation>
    <dataValidation type="whole" operator="lessThanOrEqual" allowBlank="1" showErrorMessage="1" errorTitle="Mensagem de Erro" error="F não pode ser Superior a MF" sqref="J29">
      <formula1>I29</formula1>
    </dataValidation>
    <dataValidation type="whole" operator="lessThanOrEqual" allowBlank="1" showErrorMessage="1" errorTitle="Mensagem de Erro" error="F não pode ser Superior a MF" sqref="J30">
      <formula1>I30</formula1>
    </dataValidation>
    <dataValidation type="whole" operator="lessThanOrEqual" allowBlank="1" showErrorMessage="1" errorTitle="Mensagem de Erro" error="F não pode ser Superior a MF" sqref="J31">
      <formula1>I31</formula1>
    </dataValidation>
    <dataValidation type="whole" operator="lessThanOrEqual" allowBlank="1" showErrorMessage="1" errorTitle="Mensagem de Erro" error="F não pode ser Superior a MF" sqref="J33">
      <formula1>I33</formula1>
    </dataValidation>
    <dataValidation type="whole" operator="lessThanOrEqual" allowBlank="1" showErrorMessage="1" errorTitle="Mensagem de Erro" error="F não pode ser Superior a MF" sqref="J34">
      <formula1>I34</formula1>
    </dataValidation>
    <dataValidation type="whole" operator="lessThanOrEqual" allowBlank="1" showErrorMessage="1" errorTitle="Mensagem de Erro" error="F não pode ser Superior a MF" sqref="J35">
      <formula1>I35</formula1>
    </dataValidation>
    <dataValidation type="whole" operator="lessThanOrEqual" allowBlank="1" showErrorMessage="1" errorTitle="Mensagem de Erro" error="F não pode ser Superior a MF" sqref="J43">
      <formula1>I43</formula1>
    </dataValidation>
    <dataValidation type="whole" operator="lessThanOrEqual" allowBlank="1" showErrorMessage="1" errorTitle="Mensagem de Erro" error="F não pode ser Superior a MF" sqref="J44">
      <formula1>I44</formula1>
    </dataValidation>
    <dataValidation type="whole" operator="lessThanOrEqual" allowBlank="1" showErrorMessage="1" errorTitle="Mensagem de Erro" error="F não pode ser Superior a MF" sqref="J45">
      <formula1>I45</formula1>
    </dataValidation>
    <dataValidation type="whole" operator="lessThanOrEqual" allowBlank="1" showErrorMessage="1" errorTitle="Mensagem de Erro" error="F não pode ser Superior a MF" sqref="J47">
      <formula1>I47</formula1>
    </dataValidation>
    <dataValidation type="whole" operator="lessThanOrEqual" allowBlank="1" showErrorMessage="1" errorTitle="Mensagem de Erro" error="F não pode ser Superior a MF" sqref="J48">
      <formula1>I48</formula1>
    </dataValidation>
    <dataValidation type="whole" operator="lessThanOrEqual" allowBlank="1" showErrorMessage="1" errorTitle="Mensagem de Erro" error="F não pode ser Superior a MF" sqref="J49">
      <formula1>I49</formula1>
    </dataValidation>
    <dataValidation type="whole" operator="lessThanOrEqual" allowBlank="1" showErrorMessage="1" errorTitle="Mensagem de Erro" error="F não pode ser Superior a MF" sqref="J51">
      <formula1>I51</formula1>
    </dataValidation>
    <dataValidation type="whole" operator="lessThanOrEqual" allowBlank="1" showErrorMessage="1" errorTitle="Mensagem de Erro" error="F não pode ser Superior a MF" sqref="J52">
      <formula1>I52</formula1>
    </dataValidation>
    <dataValidation type="whole" operator="lessThanOrEqual" allowBlank="1" showErrorMessage="1" errorTitle="Mensagem de Erro" error="F não pode ser Superior a MF" sqref="J53">
      <formula1>I53</formula1>
    </dataValidation>
    <dataValidation type="whole" operator="lessThanOrEqual" allowBlank="1" showErrorMessage="1" errorTitle="Mensagem de Erro" error="F não pode ser Superior a MF" sqref="J61">
      <formula1>I61</formula1>
    </dataValidation>
    <dataValidation type="whole" operator="lessThanOrEqual" allowBlank="1" showErrorMessage="1" errorTitle="Mensagem de Erro" error="F não pode ser Superior a MF" sqref="J62">
      <formula1>I62</formula1>
    </dataValidation>
    <dataValidation type="whole" operator="lessThanOrEqual" allowBlank="1" showErrorMessage="1" errorTitle="Mensagem de Erro" error="F não pode ser Superior a MF" sqref="J63">
      <formula1>I63</formula1>
    </dataValidation>
    <dataValidation type="whole" operator="lessThanOrEqual" allowBlank="1" showErrorMessage="1" errorTitle="Mensagem de Erro" error="F não pode ser Superior a MF" sqref="J65">
      <formula1>I65</formula1>
    </dataValidation>
    <dataValidation type="whole" operator="lessThanOrEqual" allowBlank="1" showErrorMessage="1" errorTitle="Mensagem de Erro" error="F não pode ser Superior a MF" sqref="J66">
      <formula1>I66</formula1>
    </dataValidation>
    <dataValidation type="whole" operator="lessThanOrEqual" allowBlank="1" showErrorMessage="1" errorTitle="Mensagem de Erro" error="F não pode ser Superior a MF" sqref="J67">
      <formula1>I67</formula1>
    </dataValidation>
    <dataValidation type="whole" operator="lessThanOrEqual" allowBlank="1" showErrorMessage="1" errorTitle="Mensagem de Erro" error="F não pode ser Superior a MF" sqref="J69">
      <formula1>I69</formula1>
    </dataValidation>
    <dataValidation type="whole" operator="lessThanOrEqual" allowBlank="1" showErrorMessage="1" errorTitle="Mensagem de Erro" error="F não pode ser Superior a MF" sqref="J7">
      <formula1>I7</formula1>
    </dataValidation>
    <dataValidation type="whole" operator="lessThanOrEqual" allowBlank="1" showErrorMessage="1" errorTitle="Mensagem de Erro" error="F não pode ser Superior a MF" sqref="J70">
      <formula1>I70</formula1>
    </dataValidation>
    <dataValidation type="whole" operator="lessThanOrEqual" allowBlank="1" showErrorMessage="1" errorTitle="Mensagem de Erro" error="F não pode ser Superior a MF" sqref="J71">
      <formula1>I71</formula1>
    </dataValidation>
    <dataValidation type="whole" operator="lessThanOrEqual" allowBlank="1" showErrorMessage="1" errorTitle="Mensagem de Erro" error="F não pode ser Superior a MF" sqref="J8">
      <formula1>I8</formula1>
    </dataValidation>
    <dataValidation type="whole" operator="lessThanOrEqual" allowBlank="1" showErrorMessage="1" errorTitle="Mensagem de Erro" error="F não pode ser Superior a MF" sqref="J9">
      <formula1>I9</formula1>
    </dataValidation>
    <dataValidation type="whole" operator="lessThanOrEqual" allowBlank="1" showErrorMessage="1" errorTitle="Mensagem de Erro" error="F não pode ser Superior a MF" sqref="L11">
      <formula1>K11</formula1>
    </dataValidation>
    <dataValidation type="whole" operator="lessThanOrEqual" allowBlank="1" showErrorMessage="1" errorTitle="Mensagem de Erro" error="F não pode ser Superior a MF" sqref="L12">
      <formula1>K12</formula1>
    </dataValidation>
    <dataValidation type="whole" operator="lessThanOrEqual" allowBlank="1" showErrorMessage="1" errorTitle="Mensagem de Erro" error="F não pode ser Superior a MF" sqref="L13">
      <formula1>K13</formula1>
    </dataValidation>
    <dataValidation type="whole" operator="lessThanOrEqual" allowBlank="1" showErrorMessage="1" errorTitle="Mensagem de Erro" error="F não pode ser Superior a MF" sqref="L15">
      <formula1>K15</formula1>
    </dataValidation>
    <dataValidation type="whole" operator="lessThanOrEqual" allowBlank="1" showErrorMessage="1" errorTitle="Mensagem de Erro" error="F não pode ser Superior a MF" sqref="L16">
      <formula1>K16</formula1>
    </dataValidation>
    <dataValidation type="whole" operator="lessThanOrEqual" allowBlank="1" showErrorMessage="1" errorTitle="Mensagem de Erro" error="F não pode ser Superior a MF" sqref="L17">
      <formula1>K17</formula1>
    </dataValidation>
    <dataValidation type="whole" operator="lessThanOrEqual" allowBlank="1" showErrorMessage="1" errorTitle="Mensagem de Erro" error="F não pode ser Superior a MF" sqref="L25">
      <formula1>K25</formula1>
    </dataValidation>
    <dataValidation type="whole" operator="lessThanOrEqual" allowBlank="1" showErrorMessage="1" errorTitle="Mensagem de Erro" error="F não pode ser Superior a MF" sqref="L26">
      <formula1>K26</formula1>
    </dataValidation>
    <dataValidation type="whole" operator="lessThanOrEqual" allowBlank="1" showErrorMessage="1" errorTitle="Mensagem de Erro" error="F não pode ser Superior a MF" sqref="L27">
      <formula1>K27</formula1>
    </dataValidation>
    <dataValidation type="whole" operator="lessThanOrEqual" allowBlank="1" showErrorMessage="1" errorTitle="Mensagem de Erro" error="F não pode ser Superior a MF" sqref="L29">
      <formula1>K29</formula1>
    </dataValidation>
    <dataValidation type="whole" operator="lessThanOrEqual" allowBlank="1" showErrorMessage="1" errorTitle="Mensagem de Erro" error="F não pode ser Superior a MF" sqref="L30">
      <formula1>K30</formula1>
    </dataValidation>
    <dataValidation type="whole" operator="lessThanOrEqual" allowBlank="1" showErrorMessage="1" errorTitle="Mensagem de Erro" error="F não pode ser Superior a MF" sqref="L31">
      <formula1>K31</formula1>
    </dataValidation>
    <dataValidation type="whole" operator="lessThanOrEqual" allowBlank="1" showErrorMessage="1" errorTitle="Mensagem de Erro" error="F não pode ser Superior a MF" sqref="L33">
      <formula1>K33</formula1>
    </dataValidation>
    <dataValidation type="whole" operator="lessThanOrEqual" allowBlank="1" showErrorMessage="1" errorTitle="Mensagem de Erro" error="F não pode ser Superior a MF" sqref="L34">
      <formula1>K34</formula1>
    </dataValidation>
    <dataValidation type="whole" operator="lessThanOrEqual" allowBlank="1" showErrorMessage="1" errorTitle="Mensagem de Erro" error="F não pode ser Superior a MF" sqref="L35">
      <formula1>K35</formula1>
    </dataValidation>
    <dataValidation type="whole" operator="lessThanOrEqual" allowBlank="1" showErrorMessage="1" errorTitle="Mensagem de Erro" error="F não pode ser Superior a MF" sqref="L43">
      <formula1>K43</formula1>
    </dataValidation>
    <dataValidation type="whole" operator="lessThanOrEqual" allowBlank="1" showErrorMessage="1" errorTitle="Mensagem de Erro" error="F não pode ser Superior a MF" sqref="L44">
      <formula1>K44</formula1>
    </dataValidation>
    <dataValidation type="whole" operator="lessThanOrEqual" allowBlank="1" showErrorMessage="1" errorTitle="Mensagem de Erro" error="F não pode ser Superior a MF" sqref="L45">
      <formula1>K45</formula1>
    </dataValidation>
    <dataValidation type="whole" operator="lessThanOrEqual" allowBlank="1" showErrorMessage="1" errorTitle="Mensagem de Erro" error="F não pode ser Superior a MF" sqref="L47">
      <formula1>K47</formula1>
    </dataValidation>
    <dataValidation type="whole" operator="lessThanOrEqual" allowBlank="1" showErrorMessage="1" errorTitle="Mensagem de Erro" error="F não pode ser Superior a MF" sqref="L48">
      <formula1>K48</formula1>
    </dataValidation>
    <dataValidation type="whole" operator="lessThanOrEqual" allowBlank="1" showErrorMessage="1" errorTitle="Mensagem de Erro" error="F não pode ser Superior a MF" sqref="L49">
      <formula1>K49</formula1>
    </dataValidation>
    <dataValidation type="whole" operator="lessThanOrEqual" allowBlank="1" showErrorMessage="1" errorTitle="Mensagem de Erro" error="F não pode ser Superior a MF" sqref="L51">
      <formula1>K51</formula1>
    </dataValidation>
    <dataValidation type="whole" operator="lessThanOrEqual" allowBlank="1" showErrorMessage="1" errorTitle="Mensagem de Erro" error="F não pode ser Superior a MF" sqref="L52">
      <formula1>K52</formula1>
    </dataValidation>
    <dataValidation type="whole" operator="lessThanOrEqual" allowBlank="1" showErrorMessage="1" errorTitle="Mensagem de Erro" error="F não pode ser Superior a MF" sqref="L53">
      <formula1>K53</formula1>
    </dataValidation>
    <dataValidation type="whole" operator="lessThanOrEqual" allowBlank="1" showErrorMessage="1" errorTitle="Mensagem de Erro" error="F não pode ser Superior a MF" sqref="L61">
      <formula1>K61</formula1>
    </dataValidation>
    <dataValidation type="whole" operator="lessThanOrEqual" allowBlank="1" showErrorMessage="1" errorTitle="Mensagem de Erro" error="F não pode ser Superior a MF" sqref="L62">
      <formula1>K62</formula1>
    </dataValidation>
    <dataValidation type="whole" operator="lessThanOrEqual" allowBlank="1" showErrorMessage="1" errorTitle="Mensagem de Erro" error="F não pode ser Superior a MF" sqref="L63">
      <formula1>K63</formula1>
    </dataValidation>
    <dataValidation type="whole" operator="lessThanOrEqual" allowBlank="1" showErrorMessage="1" errorTitle="Mensagem de Erro" error="F não pode ser Superior a MF" sqref="L65">
      <formula1>K65</formula1>
    </dataValidation>
    <dataValidation type="whole" operator="lessThanOrEqual" allowBlank="1" showErrorMessage="1" errorTitle="Mensagem de Erro" error="F não pode ser Superior a MF" sqref="L66">
      <formula1>K66</formula1>
    </dataValidation>
    <dataValidation type="whole" operator="lessThanOrEqual" allowBlank="1" showErrorMessage="1" errorTitle="Mensagem de Erro" error="F não pode ser Superior a MF" sqref="L67">
      <formula1>K67</formula1>
    </dataValidation>
    <dataValidation type="whole" operator="lessThanOrEqual" allowBlank="1" showErrorMessage="1" errorTitle="Mensagem de Erro" error="F não pode ser Superior a MF" sqref="L69">
      <formula1>K69</formula1>
    </dataValidation>
    <dataValidation type="whole" operator="lessThanOrEqual" allowBlank="1" showErrorMessage="1" errorTitle="Mensagem de Erro" error="F não pode ser Superior a MF" sqref="L7">
      <formula1>K7</formula1>
    </dataValidation>
    <dataValidation type="whole" operator="lessThanOrEqual" allowBlank="1" showErrorMessage="1" errorTitle="Mensagem de Erro" error="F não pode ser Superior a MF" sqref="L70">
      <formula1>K70</formula1>
    </dataValidation>
    <dataValidation type="whole" operator="lessThanOrEqual" allowBlank="1" showErrorMessage="1" errorTitle="Mensagem de Erro" error="F não pode ser Superior a MF" sqref="L71">
      <formula1>K71</formula1>
    </dataValidation>
    <dataValidation type="whole" operator="lessThanOrEqual" allowBlank="1" showErrorMessage="1" errorTitle="Mensagem de Erro" error="F não pode ser Superior a MF" sqref="L8">
      <formula1>K8</formula1>
    </dataValidation>
    <dataValidation type="whole" operator="lessThanOrEqual" allowBlank="1" showErrorMessage="1" errorTitle="Mensagem de Erro" error="F não pode ser Superior a MF" sqref="L9">
      <formula1>K9</formula1>
    </dataValidation>
    <dataValidation type="whole" operator="lessThanOrEqual" allowBlank="1" showErrorMessage="1" errorTitle="Mensagem de Erro" error="F não pode ser Superior a MF" sqref="N11">
      <formula1>M11</formula1>
    </dataValidation>
    <dataValidation type="whole" operator="lessThanOrEqual" allowBlank="1" showErrorMessage="1" errorTitle="Mensagem de Erro" error="F não pode ser Superior a MF" sqref="N12">
      <formula1>M12</formula1>
    </dataValidation>
    <dataValidation type="whole" operator="lessThanOrEqual" allowBlank="1" showErrorMessage="1" errorTitle="Mensagem de Erro" error="F não pode ser Superior a MF" sqref="N13">
      <formula1>M13</formula1>
    </dataValidation>
    <dataValidation type="whole" operator="lessThanOrEqual" allowBlank="1" showErrorMessage="1" errorTitle="Mensagem de Erro" error="F não pode ser Superior a MF" sqref="N15">
      <formula1>M15</formula1>
    </dataValidation>
    <dataValidation type="whole" operator="lessThanOrEqual" allowBlank="1" showErrorMessage="1" errorTitle="Mensagem de Erro" error="F não pode ser Superior a MF" sqref="N16">
      <formula1>M16</formula1>
    </dataValidation>
    <dataValidation type="whole" operator="lessThanOrEqual" allowBlank="1" showErrorMessage="1" errorTitle="Mensagem de Erro" error="F não pode ser Superior a MF" sqref="N17">
      <formula1>M17</formula1>
    </dataValidation>
    <dataValidation type="whole" operator="lessThanOrEqual" allowBlank="1" showErrorMessage="1" errorTitle="Mensagem de Erro" error="F não pode ser Superior a MF" sqref="N25">
      <formula1>M25</formula1>
    </dataValidation>
    <dataValidation type="whole" operator="lessThanOrEqual" allowBlank="1" showErrorMessage="1" errorTitle="Mensagem de Erro" error="F não pode ser Superior a MF" sqref="N26">
      <formula1>M26</formula1>
    </dataValidation>
    <dataValidation type="whole" operator="lessThanOrEqual" allowBlank="1" showErrorMessage="1" errorTitle="Mensagem de Erro" error="F não pode ser Superior a MF" sqref="N27">
      <formula1>M27</formula1>
    </dataValidation>
    <dataValidation type="whole" operator="lessThanOrEqual" allowBlank="1" showErrorMessage="1" errorTitle="Mensagem de Erro" error="F não pode ser Superior a MF" sqref="N29">
      <formula1>M29</formula1>
    </dataValidation>
    <dataValidation type="whole" operator="lessThanOrEqual" allowBlank="1" showErrorMessage="1" errorTitle="Mensagem de Erro" error="F não pode ser Superior a MF" sqref="N30">
      <formula1>M30</formula1>
    </dataValidation>
    <dataValidation type="whole" operator="lessThanOrEqual" allowBlank="1" showErrorMessage="1" errorTitle="Mensagem de Erro" error="F não pode ser Superior a MF" sqref="N31">
      <formula1>M31</formula1>
    </dataValidation>
    <dataValidation type="whole" operator="lessThanOrEqual" allowBlank="1" showErrorMessage="1" errorTitle="Mensagem de Erro" error="F não pode ser Superior a MF" sqref="N33">
      <formula1>M33</formula1>
    </dataValidation>
    <dataValidation type="whole" operator="lessThanOrEqual" allowBlank="1" showErrorMessage="1" errorTitle="Mensagem de Erro" error="F não pode ser Superior a MF" sqref="N34">
      <formula1>M34</formula1>
    </dataValidation>
    <dataValidation type="whole" operator="lessThanOrEqual" allowBlank="1" showErrorMessage="1" errorTitle="Mensagem de Erro" error="F não pode ser Superior a MF" sqref="N35">
      <formula1>M35</formula1>
    </dataValidation>
    <dataValidation type="whole" operator="lessThanOrEqual" allowBlank="1" showErrorMessage="1" errorTitle="Mensagem de Erro" error="F não pode ser Superior a MF" sqref="N43">
      <formula1>M43</formula1>
    </dataValidation>
    <dataValidation type="whole" operator="lessThanOrEqual" allowBlank="1" showErrorMessage="1" errorTitle="Mensagem de Erro" error="F não pode ser Superior a MF" sqref="N44">
      <formula1>M44</formula1>
    </dataValidation>
    <dataValidation type="whole" operator="lessThanOrEqual" allowBlank="1" showErrorMessage="1" errorTitle="Mensagem de Erro" error="F não pode ser Superior a MF" sqref="N45">
      <formula1>M45</formula1>
    </dataValidation>
    <dataValidation type="whole" operator="lessThanOrEqual" allowBlank="1" showErrorMessage="1" errorTitle="Mensagem de Erro" error="F não pode ser Superior a MF" sqref="N47">
      <formula1>M47</formula1>
    </dataValidation>
    <dataValidation type="whole" operator="lessThanOrEqual" allowBlank="1" showErrorMessage="1" errorTitle="Mensagem de Erro" error="F não pode ser Superior a MF" sqref="N48">
      <formula1>M48</formula1>
    </dataValidation>
    <dataValidation type="whole" operator="lessThanOrEqual" allowBlank="1" showErrorMessage="1" errorTitle="Mensagem de Erro" error="F não pode ser Superior a MF" sqref="N49">
      <formula1>M49</formula1>
    </dataValidation>
    <dataValidation type="whole" operator="lessThanOrEqual" allowBlank="1" showErrorMessage="1" errorTitle="Mensagem de Erro" error="F não pode ser Superior a MF" sqref="N51">
      <formula1>M51</formula1>
    </dataValidation>
    <dataValidation type="whole" operator="lessThanOrEqual" allowBlank="1" showErrorMessage="1" errorTitle="Mensagem de Erro" error="F não pode ser Superior a MF" sqref="N52">
      <formula1>M52</formula1>
    </dataValidation>
    <dataValidation type="whole" operator="lessThanOrEqual" allowBlank="1" showErrorMessage="1" errorTitle="Mensagem de Erro" error="F não pode ser Superior a MF" sqref="N53">
      <formula1>M53</formula1>
    </dataValidation>
    <dataValidation type="whole" operator="lessThanOrEqual" allowBlank="1" showErrorMessage="1" errorTitle="Mensagem de Erro" error="F não pode ser Superior a MF" sqref="N61">
      <formula1>M61</formula1>
    </dataValidation>
    <dataValidation type="whole" operator="lessThanOrEqual" allowBlank="1" showErrorMessage="1" errorTitle="Mensagem de Erro" error="F não pode ser Superior a MF" sqref="N62">
      <formula1>M62</formula1>
    </dataValidation>
    <dataValidation type="whole" operator="lessThanOrEqual" allowBlank="1" showErrorMessage="1" errorTitle="Mensagem de Erro" error="F não pode ser Superior a MF" sqref="N63">
      <formula1>M63</formula1>
    </dataValidation>
    <dataValidation type="whole" operator="lessThanOrEqual" allowBlank="1" showErrorMessage="1" errorTitle="Mensagem de Erro" error="F não pode ser Superior a MF" sqref="N65">
      <formula1>M65</formula1>
    </dataValidation>
    <dataValidation type="whole" operator="lessThanOrEqual" allowBlank="1" showErrorMessage="1" errorTitle="Mensagem de Erro" error="F não pode ser Superior a MF" sqref="N66">
      <formula1>M66</formula1>
    </dataValidation>
    <dataValidation type="whole" operator="lessThanOrEqual" allowBlank="1" showErrorMessage="1" errorTitle="Mensagem de Erro" error="F não pode ser Superior a MF" sqref="N67">
      <formula1>M67</formula1>
    </dataValidation>
    <dataValidation type="whole" operator="lessThanOrEqual" allowBlank="1" showErrorMessage="1" errorTitle="Mensagem de Erro" error="F não pode ser Superior a MF" sqref="N69">
      <formula1>M69</formula1>
    </dataValidation>
    <dataValidation type="whole" operator="lessThanOrEqual" allowBlank="1" showErrorMessage="1" errorTitle="Mensagem de Erro" error="F não pode ser Superior a MF" sqref="N7">
      <formula1>M7</formula1>
    </dataValidation>
    <dataValidation type="whole" operator="lessThanOrEqual" allowBlank="1" showErrorMessage="1" errorTitle="Mensagem de Erro" error="F não pode ser Superior a MF" sqref="N70">
      <formula1>M70</formula1>
    </dataValidation>
    <dataValidation type="whole" operator="lessThanOrEqual" allowBlank="1" showErrorMessage="1" errorTitle="Mensagem de Erro" error="F não pode ser Superior a MF" sqref="N71">
      <formula1>M71</formula1>
    </dataValidation>
    <dataValidation type="whole" operator="lessThanOrEqual" allowBlank="1" showErrorMessage="1" errorTitle="Mensagem de Erro" error="F não pode ser Superior a MF" sqref="N8">
      <formula1>M8</formula1>
    </dataValidation>
    <dataValidation type="whole" operator="lessThanOrEqual" allowBlank="1" showErrorMessage="1" errorTitle="Mensagem de Erro" error="F não pode ser Superior a MF" sqref="N9">
      <formula1>M9</formula1>
    </dataValidation>
    <dataValidation type="whole" operator="lessThanOrEqual" allowBlank="1" showErrorMessage="1" errorTitle="Mensagem de Erro" error="F não pode ser Superior a MF" sqref="P11">
      <formula1>O11</formula1>
    </dataValidation>
    <dataValidation type="whole" operator="lessThanOrEqual" allowBlank="1" showErrorMessage="1" errorTitle="Mensagem de Erro" error="F não pode ser Superior a MF" sqref="P12">
      <formula1>O12</formula1>
    </dataValidation>
    <dataValidation type="whole" operator="lessThanOrEqual" allowBlank="1" showErrorMessage="1" errorTitle="Mensagem de Erro" error="F não pode ser Superior a MF" sqref="P13">
      <formula1>O13</formula1>
    </dataValidation>
    <dataValidation type="whole" operator="lessThanOrEqual" allowBlank="1" showErrorMessage="1" errorTitle="Mensagem de Erro" error="F não pode ser Superior a MF" sqref="P15">
      <formula1>O15</formula1>
    </dataValidation>
    <dataValidation type="whole" operator="lessThanOrEqual" allowBlank="1" showErrorMessage="1" errorTitle="Mensagem de Erro" error="F não pode ser Superior a MF" sqref="P16">
      <formula1>O16</formula1>
    </dataValidation>
    <dataValidation type="whole" operator="lessThanOrEqual" allowBlank="1" showErrorMessage="1" errorTitle="Mensagem de Erro" error="F não pode ser Superior a MF" sqref="P17">
      <formula1>O17</formula1>
    </dataValidation>
    <dataValidation type="whole" operator="lessThanOrEqual" allowBlank="1" showErrorMessage="1" errorTitle="Mensagem de Erro" error="F não pode ser Superior a MF" sqref="P25">
      <formula1>O25</formula1>
    </dataValidation>
    <dataValidation type="whole" operator="lessThanOrEqual" allowBlank="1" showErrorMessage="1" errorTitle="Mensagem de Erro" error="F não pode ser Superior a MF" sqref="P26">
      <formula1>O26</formula1>
    </dataValidation>
    <dataValidation type="whole" operator="lessThanOrEqual" allowBlank="1" showErrorMessage="1" errorTitle="Mensagem de Erro" error="F não pode ser Superior a MF" sqref="P27">
      <formula1>O27</formula1>
    </dataValidation>
    <dataValidation type="whole" operator="lessThanOrEqual" allowBlank="1" showErrorMessage="1" errorTitle="Mensagem de Erro" error="F não pode ser Superior a MF" sqref="P29">
      <formula1>O29</formula1>
    </dataValidation>
    <dataValidation type="whole" operator="lessThanOrEqual" allowBlank="1" showErrorMessage="1" errorTitle="Mensagem de Erro" error="F não pode ser Superior a MF" sqref="P30">
      <formula1>O30</formula1>
    </dataValidation>
    <dataValidation type="whole" operator="lessThanOrEqual" allowBlank="1" showErrorMessage="1" errorTitle="Mensagem de Erro" error="F não pode ser Superior a MF" sqref="P31">
      <formula1>O31</formula1>
    </dataValidation>
    <dataValidation type="whole" operator="lessThanOrEqual" allowBlank="1" showErrorMessage="1" errorTitle="Mensagem de Erro" error="F não pode ser Superior a MF" sqref="P33">
      <formula1>O33</formula1>
    </dataValidation>
    <dataValidation type="whole" operator="lessThanOrEqual" allowBlank="1" showErrorMessage="1" errorTitle="Mensagem de Erro" error="F não pode ser Superior a MF" sqref="P34">
      <formula1>O34</formula1>
    </dataValidation>
    <dataValidation type="whole" operator="lessThanOrEqual" allowBlank="1" showErrorMessage="1" errorTitle="Mensagem de Erro" error="F não pode ser Superior a MF" sqref="P35">
      <formula1>O35</formula1>
    </dataValidation>
    <dataValidation type="whole" operator="lessThanOrEqual" allowBlank="1" showErrorMessage="1" errorTitle="Mensagem de Erro" error="F não pode ser Superior a MF" sqref="P43">
      <formula1>O43</formula1>
    </dataValidation>
    <dataValidation type="whole" operator="lessThanOrEqual" allowBlank="1" showErrorMessage="1" errorTitle="Mensagem de Erro" error="F não pode ser Superior a MF" sqref="P44">
      <formula1>O44</formula1>
    </dataValidation>
    <dataValidation type="whole" operator="lessThanOrEqual" allowBlank="1" showErrorMessage="1" errorTitle="Mensagem de Erro" error="F não pode ser Superior a MF" sqref="P45">
      <formula1>O45</formula1>
    </dataValidation>
    <dataValidation type="whole" operator="lessThanOrEqual" allowBlank="1" showErrorMessage="1" errorTitle="Mensagem de Erro" error="F não pode ser Superior a MF" sqref="P47">
      <formula1>O47</formula1>
    </dataValidation>
    <dataValidation type="whole" operator="lessThanOrEqual" allowBlank="1" showErrorMessage="1" errorTitle="Mensagem de Erro" error="F não pode ser Superior a MF" sqref="P48">
      <formula1>O48</formula1>
    </dataValidation>
    <dataValidation type="whole" operator="lessThanOrEqual" allowBlank="1" showErrorMessage="1" errorTitle="Mensagem de Erro" error="F não pode ser Superior a MF" sqref="P49">
      <formula1>O49</formula1>
    </dataValidation>
    <dataValidation type="whole" operator="lessThanOrEqual" allowBlank="1" showErrorMessage="1" errorTitle="Mensagem de Erro" error="F não pode ser Superior a MF" sqref="P51">
      <formula1>O51</formula1>
    </dataValidation>
    <dataValidation type="whole" operator="lessThanOrEqual" allowBlank="1" showErrorMessage="1" errorTitle="Mensagem de Erro" error="F não pode ser Superior a MF" sqref="P52">
      <formula1>O52</formula1>
    </dataValidation>
    <dataValidation type="whole" operator="lessThanOrEqual" allowBlank="1" showErrorMessage="1" errorTitle="Mensagem de Erro" error="F não pode ser Superior a MF" sqref="P53">
      <formula1>O53</formula1>
    </dataValidation>
    <dataValidation type="whole" operator="lessThanOrEqual" allowBlank="1" showErrorMessage="1" errorTitle="Mensagem de Erro" error="F não pode ser Superior a MF" sqref="P61">
      <formula1>O61</formula1>
    </dataValidation>
    <dataValidation type="whole" operator="lessThanOrEqual" allowBlank="1" showErrorMessage="1" errorTitle="Mensagem de Erro" error="F não pode ser Superior a MF" sqref="P62">
      <formula1>O62</formula1>
    </dataValidation>
    <dataValidation type="whole" operator="lessThanOrEqual" allowBlank="1" showErrorMessage="1" errorTitle="Mensagem de Erro" error="F não pode ser Superior a MF" sqref="P63">
      <formula1>O63</formula1>
    </dataValidation>
    <dataValidation type="whole" operator="lessThanOrEqual" allowBlank="1" showErrorMessage="1" errorTitle="Mensagem de Erro" error="F não pode ser Superior a MF" sqref="P65">
      <formula1>O65</formula1>
    </dataValidation>
    <dataValidation type="whole" operator="lessThanOrEqual" allowBlank="1" showErrorMessage="1" errorTitle="Mensagem de Erro" error="F não pode ser Superior a MF" sqref="P66">
      <formula1>O66</formula1>
    </dataValidation>
    <dataValidation type="whole" operator="lessThanOrEqual" allowBlank="1" showErrorMessage="1" errorTitle="Mensagem de Erro" error="F não pode ser Superior a MF" sqref="P67">
      <formula1>O67</formula1>
    </dataValidation>
    <dataValidation type="whole" operator="lessThanOrEqual" allowBlank="1" showErrorMessage="1" errorTitle="Mensagem de Erro" error="F não pode ser Superior a MF" sqref="P69">
      <formula1>O69</formula1>
    </dataValidation>
    <dataValidation type="whole" operator="lessThanOrEqual" allowBlank="1" showErrorMessage="1" errorTitle="Mensagem de Erro" error="F não pode ser Superior a MF" sqref="P7">
      <formula1>O7</formula1>
    </dataValidation>
    <dataValidation type="whole" operator="lessThanOrEqual" allowBlank="1" showErrorMessage="1" errorTitle="Mensagem de Erro" error="F não pode ser Superior a MF" sqref="P70">
      <formula1>O70</formula1>
    </dataValidation>
    <dataValidation type="whole" operator="lessThanOrEqual" allowBlank="1" showErrorMessage="1" errorTitle="Mensagem de Erro" error="F não pode ser Superior a MF" sqref="P71">
      <formula1>O71</formula1>
    </dataValidation>
    <dataValidation type="whole" operator="lessThanOrEqual" allowBlank="1" showErrorMessage="1" errorTitle="Mensagem de Erro" error="F não pode ser Superior a MF" sqref="P8">
      <formula1>O8</formula1>
    </dataValidation>
    <dataValidation type="whole" operator="lessThanOrEqual" allowBlank="1" showErrorMessage="1" errorTitle="Mensagem de Erro" error="F não pode ser Superior a MF" sqref="P9">
      <formula1>O9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55"/>
  <sheetViews>
    <sheetView workbookViewId="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32" customWidth="1"/>
    <col min="2" max="2" width="22" customWidth="1"/>
    <col min="3" max="7" width="16" customWidth="1"/>
    <col min="8" max="12" width="15" customWidth="1"/>
  </cols>
  <sheetData>
    <row r="2" spans="1:12" x14ac:dyDescent="0.25">
      <c r="A2" s="16" t="s">
        <v>194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4" spans="1:1" x14ac:dyDescent="0.25">
      <c r="A4" s="27" t="s">
        <v>195</v>
      </c>
    </row>
    <row r="5" spans="1:12" x14ac:dyDescent="0.25">
      <c r="A5" s="19" t="s">
        <v>196</v>
      </c>
      <c r="B5" s="19" t="s">
        <v>197</v>
      </c>
      <c r="C5" s="19" t="s">
        <v>198</v>
      </c>
      <c r="D5" s="19" t="s">
        <v>199</v>
      </c>
      <c r="E5" s="19"/>
      <c r="F5" s="19"/>
      <c r="G5" s="19"/>
      <c r="H5" s="19" t="s">
        <v>200</v>
      </c>
      <c r="I5" s="19" t="s">
        <v>201</v>
      </c>
      <c r="J5" s="19" t="s">
        <v>202</v>
      </c>
      <c r="K5" s="19" t="s">
        <v>203</v>
      </c>
      <c r="L5" s="19" t="s">
        <v>204</v>
      </c>
    </row>
    <row r="6" spans="1:12" x14ac:dyDescent="0.25">
      <c r="A6" s="19"/>
      <c r="B6" s="19"/>
      <c r="C6" s="19"/>
      <c r="D6" s="19" t="s">
        <v>205</v>
      </c>
      <c r="E6" s="19" t="s">
        <v>206</v>
      </c>
      <c r="F6" s="19" t="s">
        <v>207</v>
      </c>
      <c r="G6" s="19" t="s">
        <v>208</v>
      </c>
      <c r="H6" s="19"/>
      <c r="I6" s="19"/>
      <c r="J6" s="19"/>
      <c r="K6" s="19"/>
      <c r="L6" s="19"/>
    </row>
    <row r="7" spans="1:12" x14ac:dyDescent="0.25">
      <c r="A7" s="20" t="s">
        <v>209</v>
      </c>
      <c r="B7" s="20" t="s">
        <v>38</v>
      </c>
      <c r="C7" s="22">
        <v>0</v>
      </c>
      <c r="D7" s="22">
        <v>0</v>
      </c>
      <c r="E7" s="22">
        <v>0</v>
      </c>
      <c r="F7" s="22">
        <v>0</v>
      </c>
      <c r="G7" s="21">
        <f>SUM(D7:F7)</f>
      </c>
      <c r="H7" s="22">
        <v>0</v>
      </c>
      <c r="I7" s="22">
        <v>0</v>
      </c>
      <c r="J7" s="22">
        <v>0</v>
      </c>
      <c r="K7" s="22">
        <v>0</v>
      </c>
      <c r="L7" s="22">
        <v>0</v>
      </c>
    </row>
    <row r="8" spans="1:12" x14ac:dyDescent="0.25">
      <c r="A8" s="20"/>
      <c r="B8" s="20" t="s">
        <v>39</v>
      </c>
      <c r="C8" s="22">
        <v>0</v>
      </c>
      <c r="D8" s="22">
        <v>0</v>
      </c>
      <c r="E8" s="22">
        <v>0</v>
      </c>
      <c r="F8" s="22">
        <v>0</v>
      </c>
      <c r="G8" s="21">
        <f>SUM(D8:F8)</f>
      </c>
      <c r="H8" s="22">
        <v>0</v>
      </c>
      <c r="I8" s="22">
        <v>0</v>
      </c>
      <c r="J8" s="22">
        <v>0</v>
      </c>
      <c r="K8" s="22">
        <v>0</v>
      </c>
      <c r="L8" s="22">
        <v>0</v>
      </c>
    </row>
    <row r="9" spans="1:12" x14ac:dyDescent="0.25">
      <c r="A9" s="20"/>
      <c r="B9" s="20" t="s">
        <v>40</v>
      </c>
      <c r="C9" s="22">
        <v>0</v>
      </c>
      <c r="D9" s="22">
        <v>0</v>
      </c>
      <c r="E9" s="22">
        <v>0</v>
      </c>
      <c r="F9" s="22">
        <v>0</v>
      </c>
      <c r="G9" s="21">
        <f>SUM(D9:F9)</f>
      </c>
      <c r="H9" s="22">
        <v>0</v>
      </c>
      <c r="I9" s="22">
        <v>0</v>
      </c>
      <c r="J9" s="22">
        <v>0</v>
      </c>
      <c r="K9" s="22">
        <v>0</v>
      </c>
      <c r="L9" s="22">
        <v>0</v>
      </c>
    </row>
    <row r="10" spans="1:12" x14ac:dyDescent="0.25">
      <c r="A10" s="23" t="s">
        <v>79</v>
      </c>
      <c r="B10" s="23" t="s">
        <v>209</v>
      </c>
      <c r="C10" s="24">
        <f>SUM(C7:C9)</f>
      </c>
      <c r="D10" s="24">
        <f>SUM(D7:D9)</f>
      </c>
      <c r="E10" s="24">
        <f>SUM(E7:E9)</f>
      </c>
      <c r="F10" s="24">
        <f>SUM(F7:F9)</f>
      </c>
      <c r="G10" s="24">
        <f>SUM(G7:G9)</f>
      </c>
      <c r="H10" s="24">
        <f>SUM(H7:H9)</f>
      </c>
      <c r="I10" s="24">
        <f>SUM(I7:I9)</f>
      </c>
      <c r="J10" s="24">
        <f>SUM(J7:J9)</f>
      </c>
      <c r="K10" s="24">
        <f>SUM(K7:K9)</f>
      </c>
      <c r="L10" s="24">
        <f>SUM(L7:L9)</f>
      </c>
    </row>
    <row r="11" spans="1:12" x14ac:dyDescent="0.25">
      <c r="A11" s="20" t="s">
        <v>210</v>
      </c>
      <c r="B11" s="20" t="s">
        <v>38</v>
      </c>
      <c r="C11" s="22">
        <v>0</v>
      </c>
      <c r="D11" s="22">
        <v>0</v>
      </c>
      <c r="E11" s="22">
        <v>0</v>
      </c>
      <c r="F11" s="22">
        <v>0</v>
      </c>
      <c r="G11" s="21">
        <f>SUM(D11:F11)</f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</row>
    <row r="12" spans="1:12" x14ac:dyDescent="0.25">
      <c r="A12" s="20"/>
      <c r="B12" s="20" t="s">
        <v>39</v>
      </c>
      <c r="C12" s="22">
        <v>0</v>
      </c>
      <c r="D12" s="22">
        <v>0</v>
      </c>
      <c r="E12" s="22">
        <v>0</v>
      </c>
      <c r="F12" s="22">
        <v>0</v>
      </c>
      <c r="G12" s="21">
        <f>SUM(D12:F12)</f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</row>
    <row r="13" spans="1:12" x14ac:dyDescent="0.25">
      <c r="A13" s="20"/>
      <c r="B13" s="20" t="s">
        <v>40</v>
      </c>
      <c r="C13" s="22">
        <v>0</v>
      </c>
      <c r="D13" s="22">
        <v>0</v>
      </c>
      <c r="E13" s="22">
        <v>0</v>
      </c>
      <c r="F13" s="22">
        <v>0</v>
      </c>
      <c r="G13" s="21">
        <f>SUM(D13:F13)</f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</row>
    <row r="14" spans="1:12" x14ac:dyDescent="0.25">
      <c r="A14" s="23" t="s">
        <v>79</v>
      </c>
      <c r="B14" s="23" t="s">
        <v>210</v>
      </c>
      <c r="C14" s="24">
        <f>SUM(C11:C13)</f>
      </c>
      <c r="D14" s="24">
        <f>SUM(D11:D13)</f>
      </c>
      <c r="E14" s="24">
        <f>SUM(E11:E13)</f>
      </c>
      <c r="F14" s="24">
        <f>SUM(F11:F13)</f>
      </c>
      <c r="G14" s="24">
        <f>SUM(G11:G13)</f>
      </c>
      <c r="H14" s="24">
        <f>SUM(H11:H13)</f>
      </c>
      <c r="I14" s="24">
        <f>SUM(I11:I13)</f>
      </c>
      <c r="J14" s="24">
        <f>SUM(J11:J13)</f>
      </c>
      <c r="K14" s="24">
        <f>SUM(K11:K13)</f>
      </c>
      <c r="L14" s="24">
        <f>SUM(L11:L13)</f>
      </c>
    </row>
    <row r="15" spans="1:12" x14ac:dyDescent="0.25">
      <c r="A15" s="20" t="s">
        <v>211</v>
      </c>
      <c r="B15" s="20" t="s">
        <v>38</v>
      </c>
      <c r="C15" s="22">
        <v>0</v>
      </c>
      <c r="D15" s="22">
        <v>0</v>
      </c>
      <c r="E15" s="22">
        <v>0</v>
      </c>
      <c r="F15" s="22">
        <v>0</v>
      </c>
      <c r="G15" s="21">
        <f>SUM(D15:F15)</f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</row>
    <row r="16" spans="1:12" x14ac:dyDescent="0.25">
      <c r="A16" s="20"/>
      <c r="B16" s="20" t="s">
        <v>39</v>
      </c>
      <c r="C16" s="22">
        <v>0</v>
      </c>
      <c r="D16" s="22">
        <v>0</v>
      </c>
      <c r="E16" s="22">
        <v>0</v>
      </c>
      <c r="F16" s="22">
        <v>0</v>
      </c>
      <c r="G16" s="21">
        <f>SUM(D16:F16)</f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</row>
    <row r="17" spans="1:12" x14ac:dyDescent="0.25">
      <c r="A17" s="20"/>
      <c r="B17" s="20" t="s">
        <v>40</v>
      </c>
      <c r="C17" s="22">
        <v>0</v>
      </c>
      <c r="D17" s="22">
        <v>0</v>
      </c>
      <c r="E17" s="22">
        <v>0</v>
      </c>
      <c r="F17" s="22">
        <v>0</v>
      </c>
      <c r="G17" s="21">
        <f>SUM(D17:F17)</f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</row>
    <row r="18" spans="1:12" x14ac:dyDescent="0.25">
      <c r="A18" s="23" t="s">
        <v>79</v>
      </c>
      <c r="B18" s="23" t="s">
        <v>211</v>
      </c>
      <c r="C18" s="24">
        <f>SUM(C15:C17)</f>
      </c>
      <c r="D18" s="24">
        <f>SUM(D15:D17)</f>
      </c>
      <c r="E18" s="24">
        <f>SUM(E15:E17)</f>
      </c>
      <c r="F18" s="24">
        <f>SUM(F15:F17)</f>
      </c>
      <c r="G18" s="24">
        <f>SUM(G15:G17)</f>
      </c>
      <c r="H18" s="24">
        <f>SUM(H15:H17)</f>
      </c>
      <c r="I18" s="24">
        <f>SUM(I15:I17)</f>
      </c>
      <c r="J18" s="24">
        <f>SUM(J15:J17)</f>
      </c>
      <c r="K18" s="24">
        <f>SUM(K15:K17)</f>
      </c>
      <c r="L18" s="24">
        <f>SUM(L15:L17)</f>
      </c>
    </row>
    <row r="19" spans="1:12" x14ac:dyDescent="0.25">
      <c r="A19" s="20" t="s">
        <v>212</v>
      </c>
      <c r="B19" s="20" t="s">
        <v>38</v>
      </c>
      <c r="C19" s="22">
        <v>0</v>
      </c>
      <c r="D19" s="22">
        <v>0</v>
      </c>
      <c r="E19" s="22">
        <v>0</v>
      </c>
      <c r="F19" s="22">
        <v>0</v>
      </c>
      <c r="G19" s="21">
        <f>SUM(D19:F19)</f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</row>
    <row r="20" spans="1:12" x14ac:dyDescent="0.25">
      <c r="A20" s="20"/>
      <c r="B20" s="20" t="s">
        <v>39</v>
      </c>
      <c r="C20" s="22">
        <v>0</v>
      </c>
      <c r="D20" s="22">
        <v>0</v>
      </c>
      <c r="E20" s="22">
        <v>0</v>
      </c>
      <c r="F20" s="22">
        <v>0</v>
      </c>
      <c r="G20" s="21">
        <f>SUM(D20:F20)</f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</row>
    <row r="21" spans="1:12" x14ac:dyDescent="0.25">
      <c r="A21" s="20"/>
      <c r="B21" s="20" t="s">
        <v>40</v>
      </c>
      <c r="C21" s="22">
        <v>0</v>
      </c>
      <c r="D21" s="22">
        <v>0</v>
      </c>
      <c r="E21" s="22">
        <v>0</v>
      </c>
      <c r="F21" s="22">
        <v>0</v>
      </c>
      <c r="G21" s="21">
        <f>SUM(D21:F21)</f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</row>
    <row r="22" spans="1:12" x14ac:dyDescent="0.25">
      <c r="A22" s="23" t="s">
        <v>79</v>
      </c>
      <c r="B22" s="23" t="s">
        <v>212</v>
      </c>
      <c r="C22" s="24">
        <f>SUM(C19:C21)</f>
      </c>
      <c r="D22" s="24">
        <f>SUM(D19:D21)</f>
      </c>
      <c r="E22" s="24">
        <f>SUM(E19:E21)</f>
      </c>
      <c r="F22" s="24">
        <f>SUM(F19:F21)</f>
      </c>
      <c r="G22" s="24">
        <f>SUM(G19:G21)</f>
      </c>
      <c r="H22" s="24">
        <f>SUM(H19:H21)</f>
      </c>
      <c r="I22" s="24">
        <f>SUM(I19:I21)</f>
      </c>
      <c r="J22" s="24">
        <f>SUM(J19:J21)</f>
      </c>
      <c r="K22" s="24">
        <f>SUM(K19:K21)</f>
      </c>
      <c r="L22" s="24">
        <f>SUM(L19:L21)</f>
      </c>
    </row>
    <row r="23" spans="1:12" x14ac:dyDescent="0.25">
      <c r="A23" s="20" t="s">
        <v>213</v>
      </c>
      <c r="B23" s="20" t="s">
        <v>38</v>
      </c>
      <c r="C23" s="22">
        <v>0</v>
      </c>
      <c r="D23" s="22">
        <v>0</v>
      </c>
      <c r="E23" s="22">
        <v>0</v>
      </c>
      <c r="F23" s="22">
        <v>0</v>
      </c>
      <c r="G23" s="21">
        <f>SUM(D23:F23)</f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</row>
    <row r="24" spans="1:12" x14ac:dyDescent="0.25">
      <c r="A24" s="20"/>
      <c r="B24" s="20" t="s">
        <v>39</v>
      </c>
      <c r="C24" s="22">
        <v>0</v>
      </c>
      <c r="D24" s="22">
        <v>0</v>
      </c>
      <c r="E24" s="22">
        <v>0</v>
      </c>
      <c r="F24" s="22">
        <v>0</v>
      </c>
      <c r="G24" s="21">
        <f>SUM(D24:F24)</f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</row>
    <row r="25" spans="1:12" x14ac:dyDescent="0.25">
      <c r="A25" s="20"/>
      <c r="B25" s="20" t="s">
        <v>40</v>
      </c>
      <c r="C25" s="22">
        <v>0</v>
      </c>
      <c r="D25" s="22">
        <v>0</v>
      </c>
      <c r="E25" s="22">
        <v>0</v>
      </c>
      <c r="F25" s="22">
        <v>0</v>
      </c>
      <c r="G25" s="21">
        <f>SUM(D25:F25)</f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</row>
    <row r="26" spans="1:12" x14ac:dyDescent="0.25">
      <c r="A26" s="23" t="s">
        <v>79</v>
      </c>
      <c r="B26" s="23" t="s">
        <v>213</v>
      </c>
      <c r="C26" s="24">
        <f>SUM(C23:C25)</f>
      </c>
      <c r="D26" s="24">
        <f>SUM(D23:D25)</f>
      </c>
      <c r="E26" s="24">
        <f>SUM(E23:E25)</f>
      </c>
      <c r="F26" s="24">
        <f>SUM(F23:F25)</f>
      </c>
      <c r="G26" s="24">
        <f>SUM(G23:G25)</f>
      </c>
      <c r="H26" s="24">
        <f>SUM(H23:H25)</f>
      </c>
      <c r="I26" s="24">
        <f>SUM(I23:I25)</f>
      </c>
      <c r="J26" s="24">
        <f>SUM(J23:J25)</f>
      </c>
      <c r="K26" s="24">
        <f>SUM(K23:K25)</f>
      </c>
      <c r="L26" s="24">
        <f>SUM(L23:L25)</f>
      </c>
    </row>
    <row r="27" spans="1:12" x14ac:dyDescent="0.25">
      <c r="A27" s="20" t="s">
        <v>214</v>
      </c>
      <c r="B27" s="20" t="s">
        <v>38</v>
      </c>
      <c r="C27" s="22">
        <v>0</v>
      </c>
      <c r="D27" s="22">
        <v>0</v>
      </c>
      <c r="E27" s="22">
        <v>0</v>
      </c>
      <c r="F27" s="22">
        <v>0</v>
      </c>
      <c r="G27" s="21">
        <f>SUM(D27:F27)</f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</row>
    <row r="28" spans="1:12" x14ac:dyDescent="0.25">
      <c r="A28" s="20"/>
      <c r="B28" s="20" t="s">
        <v>39</v>
      </c>
      <c r="C28" s="22">
        <v>0</v>
      </c>
      <c r="D28" s="22">
        <v>0</v>
      </c>
      <c r="E28" s="22">
        <v>0</v>
      </c>
      <c r="F28" s="22">
        <v>0</v>
      </c>
      <c r="G28" s="21">
        <f>SUM(D28:F28)</f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</row>
    <row r="29" spans="1:12" x14ac:dyDescent="0.25">
      <c r="A29" s="20"/>
      <c r="B29" s="20" t="s">
        <v>40</v>
      </c>
      <c r="C29" s="22">
        <v>0</v>
      </c>
      <c r="D29" s="22">
        <v>0</v>
      </c>
      <c r="E29" s="22">
        <v>0</v>
      </c>
      <c r="F29" s="22">
        <v>0</v>
      </c>
      <c r="G29" s="21">
        <f>SUM(D29:F29)</f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</row>
    <row r="30" spans="1:12" x14ac:dyDescent="0.25">
      <c r="A30" s="23" t="s">
        <v>79</v>
      </c>
      <c r="B30" s="23" t="s">
        <v>214</v>
      </c>
      <c r="C30" s="24">
        <f>SUM(C27:C29)</f>
      </c>
      <c r="D30" s="24">
        <f>SUM(D27:D29)</f>
      </c>
      <c r="E30" s="24">
        <f>SUM(E27:E29)</f>
      </c>
      <c r="F30" s="24">
        <f>SUM(F27:F29)</f>
      </c>
      <c r="G30" s="24">
        <f>SUM(G27:G29)</f>
      </c>
      <c r="H30" s="24">
        <f>SUM(H27:H29)</f>
      </c>
      <c r="I30" s="24">
        <f>SUM(I27:I29)</f>
      </c>
      <c r="J30" s="24">
        <f>SUM(J27:J29)</f>
      </c>
      <c r="K30" s="24">
        <f>SUM(K27:K29)</f>
      </c>
      <c r="L30" s="24">
        <f>SUM(L27:L29)</f>
      </c>
    </row>
    <row r="31" spans="1:12" x14ac:dyDescent="0.25">
      <c r="A31" s="20" t="s">
        <v>215</v>
      </c>
      <c r="B31" s="20" t="s">
        <v>38</v>
      </c>
      <c r="C31" s="22">
        <v>0</v>
      </c>
      <c r="D31" s="22">
        <v>0</v>
      </c>
      <c r="E31" s="22">
        <v>0</v>
      </c>
      <c r="F31" s="22">
        <v>0</v>
      </c>
      <c r="G31" s="21">
        <f>SUM(D31:F31)</f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</row>
    <row r="32" spans="1:12" x14ac:dyDescent="0.25">
      <c r="A32" s="20"/>
      <c r="B32" s="20" t="s">
        <v>39</v>
      </c>
      <c r="C32" s="22">
        <v>0</v>
      </c>
      <c r="D32" s="22">
        <v>0</v>
      </c>
      <c r="E32" s="22">
        <v>0</v>
      </c>
      <c r="F32" s="22">
        <v>0</v>
      </c>
      <c r="G32" s="21">
        <f>SUM(D32:F32)</f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</row>
    <row r="33" spans="1:12" x14ac:dyDescent="0.25">
      <c r="A33" s="20"/>
      <c r="B33" s="20" t="s">
        <v>40</v>
      </c>
      <c r="C33" s="22">
        <v>0</v>
      </c>
      <c r="D33" s="22">
        <v>0</v>
      </c>
      <c r="E33" s="22">
        <v>0</v>
      </c>
      <c r="F33" s="22">
        <v>0</v>
      </c>
      <c r="G33" s="21">
        <f>SUM(D33:F33)</f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</row>
    <row r="34" spans="1:12" x14ac:dyDescent="0.25">
      <c r="A34" s="23" t="s">
        <v>79</v>
      </c>
      <c r="B34" s="23" t="s">
        <v>215</v>
      </c>
      <c r="C34" s="24">
        <f>SUM(C31:C33)</f>
      </c>
      <c r="D34" s="24">
        <f>SUM(D31:D33)</f>
      </c>
      <c r="E34" s="24">
        <f>SUM(E31:E33)</f>
      </c>
      <c r="F34" s="24">
        <f>SUM(F31:F33)</f>
      </c>
      <c r="G34" s="24">
        <f>SUM(G31:G33)</f>
      </c>
      <c r="H34" s="24">
        <f>SUM(H31:H33)</f>
      </c>
      <c r="I34" s="24">
        <f>SUM(I31:I33)</f>
      </c>
      <c r="J34" s="24">
        <f>SUM(J31:J33)</f>
      </c>
      <c r="K34" s="24">
        <f>SUM(K31:K33)</f>
      </c>
      <c r="L34" s="24">
        <f>SUM(L31:L33)</f>
      </c>
    </row>
    <row r="35" spans="1:12" x14ac:dyDescent="0.25">
      <c r="A35" s="20" t="s">
        <v>216</v>
      </c>
      <c r="B35" s="20" t="s">
        <v>38</v>
      </c>
      <c r="C35" s="22">
        <v>0</v>
      </c>
      <c r="D35" s="22">
        <v>0</v>
      </c>
      <c r="E35" s="22">
        <v>0</v>
      </c>
      <c r="F35" s="22">
        <v>0</v>
      </c>
      <c r="G35" s="21">
        <f>SUM(D35:F35)</f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</row>
    <row r="36" spans="1:12" x14ac:dyDescent="0.25">
      <c r="A36" s="20"/>
      <c r="B36" s="20" t="s">
        <v>39</v>
      </c>
      <c r="C36" s="22">
        <v>0</v>
      </c>
      <c r="D36" s="22">
        <v>0</v>
      </c>
      <c r="E36" s="22">
        <v>0</v>
      </c>
      <c r="F36" s="22">
        <v>0</v>
      </c>
      <c r="G36" s="21">
        <f>SUM(D36:F36)</f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</row>
    <row r="37" spans="1:12" x14ac:dyDescent="0.25">
      <c r="A37" s="20"/>
      <c r="B37" s="20" t="s">
        <v>40</v>
      </c>
      <c r="C37" s="22">
        <v>0</v>
      </c>
      <c r="D37" s="22">
        <v>0</v>
      </c>
      <c r="E37" s="22">
        <v>0</v>
      </c>
      <c r="F37" s="22">
        <v>0</v>
      </c>
      <c r="G37" s="21">
        <f>SUM(D37:F37)</f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</row>
    <row r="38" spans="1:12" x14ac:dyDescent="0.25">
      <c r="A38" s="23" t="s">
        <v>79</v>
      </c>
      <c r="B38" s="23" t="s">
        <v>216</v>
      </c>
      <c r="C38" s="24">
        <f>SUM(C35:C37)</f>
      </c>
      <c r="D38" s="24">
        <f>SUM(D35:D37)</f>
      </c>
      <c r="E38" s="24">
        <f>SUM(E35:E37)</f>
      </c>
      <c r="F38" s="24">
        <f>SUM(F35:F37)</f>
      </c>
      <c r="G38" s="24">
        <f>SUM(G35:G37)</f>
      </c>
      <c r="H38" s="24">
        <f>SUM(H35:H37)</f>
      </c>
      <c r="I38" s="24">
        <f>SUM(I35:I37)</f>
      </c>
      <c r="J38" s="24">
        <f>SUM(J35:J37)</f>
      </c>
      <c r="K38" s="24">
        <f>SUM(K35:K37)</f>
      </c>
      <c r="L38" s="24">
        <f>SUM(L35:L37)</f>
      </c>
    </row>
    <row r="39" spans="1:12" x14ac:dyDescent="0.25">
      <c r="A39" s="20" t="s">
        <v>217</v>
      </c>
      <c r="B39" s="20" t="s">
        <v>38</v>
      </c>
      <c r="C39" s="22">
        <v>0</v>
      </c>
      <c r="D39" s="22">
        <v>0</v>
      </c>
      <c r="E39" s="22">
        <v>0</v>
      </c>
      <c r="F39" s="22">
        <v>0</v>
      </c>
      <c r="G39" s="21">
        <f>SUM(D39:F39)</f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</row>
    <row r="40" spans="1:12" x14ac:dyDescent="0.25">
      <c r="A40" s="20"/>
      <c r="B40" s="20" t="s">
        <v>39</v>
      </c>
      <c r="C40" s="22">
        <v>0</v>
      </c>
      <c r="D40" s="22">
        <v>0</v>
      </c>
      <c r="E40" s="22">
        <v>0</v>
      </c>
      <c r="F40" s="22">
        <v>0</v>
      </c>
      <c r="G40" s="21">
        <f>SUM(D40:F40)</f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</row>
    <row r="41" spans="1:12" x14ac:dyDescent="0.25">
      <c r="A41" s="20"/>
      <c r="B41" s="20" t="s">
        <v>40</v>
      </c>
      <c r="C41" s="22">
        <v>0</v>
      </c>
      <c r="D41" s="22">
        <v>0</v>
      </c>
      <c r="E41" s="22">
        <v>0</v>
      </c>
      <c r="F41" s="22">
        <v>0</v>
      </c>
      <c r="G41" s="21">
        <f>SUM(D41:F41)</f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</row>
    <row r="42" spans="1:12" x14ac:dyDescent="0.25">
      <c r="A42" s="23" t="s">
        <v>79</v>
      </c>
      <c r="B42" s="23" t="s">
        <v>217</v>
      </c>
      <c r="C42" s="24">
        <f>SUM(C39:C41)</f>
      </c>
      <c r="D42" s="24">
        <f>SUM(D39:D41)</f>
      </c>
      <c r="E42" s="24">
        <f>SUM(E39:E41)</f>
      </c>
      <c r="F42" s="24">
        <f>SUM(F39:F41)</f>
      </c>
      <c r="G42" s="24">
        <f>SUM(G39:G41)</f>
      </c>
      <c r="H42" s="24">
        <f>SUM(H39:H41)</f>
      </c>
      <c r="I42" s="24">
        <f>SUM(I39:I41)</f>
      </c>
      <c r="J42" s="24">
        <f>SUM(J39:J41)</f>
      </c>
      <c r="K42" s="24">
        <f>SUM(K39:K41)</f>
      </c>
      <c r="L42" s="24">
        <f>SUM(L39:L41)</f>
      </c>
    </row>
    <row r="43" spans="1:12" x14ac:dyDescent="0.25">
      <c r="A43" s="20" t="s">
        <v>218</v>
      </c>
      <c r="B43" s="20" t="s">
        <v>38</v>
      </c>
      <c r="C43" s="22">
        <v>0</v>
      </c>
      <c r="D43" s="22">
        <v>0</v>
      </c>
      <c r="E43" s="22">
        <v>0</v>
      </c>
      <c r="F43" s="22">
        <v>0</v>
      </c>
      <c r="G43" s="21">
        <f>SUM(D43:F43)</f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</row>
    <row r="44" spans="1:12" x14ac:dyDescent="0.25">
      <c r="A44" s="20"/>
      <c r="B44" s="20" t="s">
        <v>39</v>
      </c>
      <c r="C44" s="22">
        <v>0</v>
      </c>
      <c r="D44" s="22">
        <v>0</v>
      </c>
      <c r="E44" s="22">
        <v>0</v>
      </c>
      <c r="F44" s="22">
        <v>0</v>
      </c>
      <c r="G44" s="21">
        <f>SUM(D44:F44)</f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</row>
    <row r="45" spans="1:12" x14ac:dyDescent="0.25">
      <c r="A45" s="20"/>
      <c r="B45" s="20" t="s">
        <v>40</v>
      </c>
      <c r="C45" s="22">
        <v>0</v>
      </c>
      <c r="D45" s="22">
        <v>0</v>
      </c>
      <c r="E45" s="22">
        <v>0</v>
      </c>
      <c r="F45" s="22">
        <v>0</v>
      </c>
      <c r="G45" s="21">
        <f>SUM(D45:F45)</f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</row>
    <row r="46" spans="1:12" x14ac:dyDescent="0.25">
      <c r="A46" s="23" t="s">
        <v>79</v>
      </c>
      <c r="B46" s="23" t="s">
        <v>218</v>
      </c>
      <c r="C46" s="24">
        <f>SUM(C43:C45)</f>
      </c>
      <c r="D46" s="24">
        <f>SUM(D43:D45)</f>
      </c>
      <c r="E46" s="24">
        <f>SUM(E43:E45)</f>
      </c>
      <c r="F46" s="24">
        <f>SUM(F43:F45)</f>
      </c>
      <c r="G46" s="24">
        <f>SUM(G43:G45)</f>
      </c>
      <c r="H46" s="24">
        <f>SUM(H43:H45)</f>
      </c>
      <c r="I46" s="24">
        <f>SUM(I43:I45)</f>
      </c>
      <c r="J46" s="24">
        <f>SUM(J43:J45)</f>
      </c>
      <c r="K46" s="24">
        <f>SUM(K43:K45)</f>
      </c>
      <c r="L46" s="24">
        <f>SUM(L43:L45)</f>
      </c>
    </row>
    <row r="47" spans="1:12" x14ac:dyDescent="0.25">
      <c r="A47" s="20" t="s">
        <v>219</v>
      </c>
      <c r="B47" s="20" t="s">
        <v>38</v>
      </c>
      <c r="C47" s="22">
        <v>0</v>
      </c>
      <c r="D47" s="22">
        <v>0</v>
      </c>
      <c r="E47" s="22">
        <v>0</v>
      </c>
      <c r="F47" s="22">
        <v>0</v>
      </c>
      <c r="G47" s="21">
        <f>SUM(D47:F47)</f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</row>
    <row r="48" spans="1:12" x14ac:dyDescent="0.25">
      <c r="A48" s="20"/>
      <c r="B48" s="20" t="s">
        <v>39</v>
      </c>
      <c r="C48" s="22">
        <v>0</v>
      </c>
      <c r="D48" s="22">
        <v>0</v>
      </c>
      <c r="E48" s="22">
        <v>0</v>
      </c>
      <c r="F48" s="22">
        <v>0</v>
      </c>
      <c r="G48" s="21">
        <f>SUM(D48:F48)</f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</row>
    <row r="49" spans="1:12" x14ac:dyDescent="0.25">
      <c r="A49" s="20"/>
      <c r="B49" s="20" t="s">
        <v>40</v>
      </c>
      <c r="C49" s="22">
        <v>0</v>
      </c>
      <c r="D49" s="22">
        <v>0</v>
      </c>
      <c r="E49" s="22">
        <v>0</v>
      </c>
      <c r="F49" s="22">
        <v>0</v>
      </c>
      <c r="G49" s="21">
        <f>SUM(D49:F49)</f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</row>
    <row r="50" spans="1:12" x14ac:dyDescent="0.25">
      <c r="A50" s="23" t="s">
        <v>79</v>
      </c>
      <c r="B50" s="23" t="s">
        <v>219</v>
      </c>
      <c r="C50" s="24">
        <f>SUM(C47:C49)</f>
      </c>
      <c r="D50" s="24">
        <f>SUM(D47:D49)</f>
      </c>
      <c r="E50" s="24">
        <f>SUM(E47:E49)</f>
      </c>
      <c r="F50" s="24">
        <f>SUM(F47:F49)</f>
      </c>
      <c r="G50" s="24">
        <f>SUM(G47:G49)</f>
      </c>
      <c r="H50" s="24">
        <f>SUM(H47:H49)</f>
      </c>
      <c r="I50" s="24">
        <f>SUM(I47:I49)</f>
      </c>
      <c r="J50" s="24">
        <f>SUM(J47:J49)</f>
      </c>
      <c r="K50" s="24">
        <f>SUM(K47:K49)</f>
      </c>
      <c r="L50" s="24">
        <f>SUM(L47:L49)</f>
      </c>
    </row>
    <row r="51" spans="1:12" x14ac:dyDescent="0.25">
      <c r="A51" s="20" t="s">
        <v>220</v>
      </c>
      <c r="B51" s="20" t="s">
        <v>38</v>
      </c>
      <c r="C51" s="22">
        <v>0</v>
      </c>
      <c r="D51" s="22">
        <v>0</v>
      </c>
      <c r="E51" s="22">
        <v>0</v>
      </c>
      <c r="F51" s="22">
        <v>0</v>
      </c>
      <c r="G51" s="21">
        <f>SUM(D51:F51)</f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</row>
    <row r="52" spans="1:12" x14ac:dyDescent="0.25">
      <c r="A52" s="20"/>
      <c r="B52" s="20" t="s">
        <v>39</v>
      </c>
      <c r="C52" s="22">
        <v>0</v>
      </c>
      <c r="D52" s="22">
        <v>0</v>
      </c>
      <c r="E52" s="22">
        <v>0</v>
      </c>
      <c r="F52" s="22">
        <v>0</v>
      </c>
      <c r="G52" s="21">
        <f>SUM(D52:F52)</f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</row>
    <row r="53" spans="1:12" x14ac:dyDescent="0.25">
      <c r="A53" s="20"/>
      <c r="B53" s="20" t="s">
        <v>40</v>
      </c>
      <c r="C53" s="22">
        <v>0</v>
      </c>
      <c r="D53" s="22">
        <v>0</v>
      </c>
      <c r="E53" s="22">
        <v>0</v>
      </c>
      <c r="F53" s="22">
        <v>0</v>
      </c>
      <c r="G53" s="21">
        <f>SUM(D53:F53)</f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</row>
    <row r="54" spans="1:12" x14ac:dyDescent="0.25">
      <c r="A54" s="23" t="s">
        <v>79</v>
      </c>
      <c r="B54" s="23" t="s">
        <v>220</v>
      </c>
      <c r="C54" s="24">
        <f>SUM(C51:C53)</f>
      </c>
      <c r="D54" s="24">
        <f>SUM(D51:D53)</f>
      </c>
      <c r="E54" s="24">
        <f>SUM(E51:E53)</f>
      </c>
      <c r="F54" s="24">
        <f>SUM(F51:F53)</f>
      </c>
      <c r="G54" s="24">
        <f>SUM(G51:G53)</f>
      </c>
      <c r="H54" s="24">
        <f>SUM(H51:H53)</f>
      </c>
      <c r="I54" s="24">
        <f>SUM(I51:I53)</f>
      </c>
      <c r="J54" s="24">
        <f>SUM(J51:J53)</f>
      </c>
      <c r="K54" s="24">
        <f>SUM(K51:K53)</f>
      </c>
      <c r="L54" s="24">
        <f>SUM(L51:L53)</f>
      </c>
    </row>
    <row r="55" spans="1:12" x14ac:dyDescent="0.25">
      <c r="A55" s="23" t="s">
        <v>46</v>
      </c>
      <c r="B55" s="23" t="s">
        <v>221</v>
      </c>
      <c r="C55" s="24">
        <f>SUM(C10,C14,C18,C22,C26,C30,C34,C38,C42,C46,C50,C54)</f>
      </c>
      <c r="D55" s="24">
        <f>SUM(D10,D14,D18,D22,D26,D30,D34,D38,D42,D46,D50,D54)</f>
      </c>
      <c r="E55" s="24">
        <f>SUM(E10,E14,E18,E22,E26,E30,E34,E38,E42,E46,E50,E54)</f>
      </c>
      <c r="F55" s="24">
        <f>SUM(F10,F14,F18,F22,F26,F30,F34,F38,F42,F46,F50,F54)</f>
      </c>
      <c r="G55" s="24">
        <f>SUM(G10,G14,G18,G22,G26,G30,G34,G38,G42,G46,G50,G54)</f>
      </c>
      <c r="H55" s="24">
        <f>SUM(H10,H14,H18,H22,H26,H30,H34,H38,H42,H46,H50,H54)</f>
      </c>
      <c r="I55" s="24">
        <f>SUM(I10,I14,I18,I22,I26,I30,I34,I38,I42,I46,I50,I54)</f>
      </c>
      <c r="J55" s="24">
        <f>SUM(J10,J14,J18,J22,J26,J30,J34,J38,J42,J46,J50,J54)</f>
      </c>
      <c r="K55" s="24">
        <f>SUM(K10,K14,K18,K22,K26,K30,K34,K38,K42,K46,K50,K54)</f>
      </c>
      <c r="L55" s="24">
        <f>SUM(L10,L14,L18,L22,L26,L30,L34,L38,L42,L46,L50,L54)</f>
      </c>
    </row>
  </sheetData>
  <mergeCells count="22">
    <mergeCell ref="A2:L2"/>
    <mergeCell ref="D5:G5"/>
    <mergeCell ref="A5:A6"/>
    <mergeCell ref="B5:B6"/>
    <mergeCell ref="C5:C6"/>
    <mergeCell ref="H5:H6"/>
    <mergeCell ref="I5:I6"/>
    <mergeCell ref="J5:J6"/>
    <mergeCell ref="K5:K6"/>
    <mergeCell ref="L5:L6"/>
    <mergeCell ref="A7:A9"/>
    <mergeCell ref="A11:A13"/>
    <mergeCell ref="A15:A17"/>
    <mergeCell ref="A19:A21"/>
    <mergeCell ref="A23:A25"/>
    <mergeCell ref="A27:A29"/>
    <mergeCell ref="A31:A33"/>
    <mergeCell ref="A35:A37"/>
    <mergeCell ref="A39:A41"/>
    <mergeCell ref="A43:A45"/>
    <mergeCell ref="A47:A49"/>
    <mergeCell ref="A51:A5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373"/>
  <sheetViews>
    <sheetView workbookViewId="0">
      <pane xSplit="3" ySplit="6" topLeftCell="D7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3" width="22" customWidth="1"/>
    <col min="4" max="11" width="14" customWidth="1"/>
    <col min="12" max="15" width="15" customWidth="1"/>
    <col min="16" max="17" width="14" customWidth="1"/>
  </cols>
  <sheetData>
    <row r="2" spans="1:17" x14ac:dyDescent="0.25">
      <c r="A2" s="16" t="s">
        <v>222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4" spans="1:1" x14ac:dyDescent="0.25">
      <c r="A4" s="27" t="s">
        <v>223</v>
      </c>
    </row>
    <row r="5" spans="1:17" x14ac:dyDescent="0.25">
      <c r="A5" s="19" t="s">
        <v>224</v>
      </c>
      <c r="B5" s="19" t="s">
        <v>25</v>
      </c>
      <c r="C5" s="19" t="s">
        <v>225</v>
      </c>
      <c r="D5" s="19" t="s">
        <v>226</v>
      </c>
      <c r="E5" s="19"/>
      <c r="F5" s="19" t="s">
        <v>227</v>
      </c>
      <c r="G5" s="19"/>
      <c r="H5" s="19" t="s">
        <v>228</v>
      </c>
      <c r="I5" s="19"/>
      <c r="J5" s="19" t="s">
        <v>229</v>
      </c>
      <c r="K5" s="19"/>
      <c r="L5" s="19" t="s">
        <v>230</v>
      </c>
      <c r="M5" s="19"/>
      <c r="N5" s="19" t="s">
        <v>231</v>
      </c>
      <c r="O5" s="19"/>
      <c r="P5" s="19" t="s">
        <v>232</v>
      </c>
      <c r="Q5" s="19"/>
    </row>
    <row r="6" spans="1:17" x14ac:dyDescent="0.25">
      <c r="A6" s="19"/>
      <c r="B6" s="19"/>
      <c r="C6" s="19"/>
      <c r="D6" s="19" t="s">
        <v>33</v>
      </c>
      <c r="E6" s="19" t="s">
        <v>34</v>
      </c>
      <c r="F6" s="19" t="s">
        <v>33</v>
      </c>
      <c r="G6" s="19" t="s">
        <v>34</v>
      </c>
      <c r="H6" s="19" t="s">
        <v>33</v>
      </c>
      <c r="I6" s="19" t="s">
        <v>34</v>
      </c>
      <c r="J6" s="19" t="s">
        <v>33</v>
      </c>
      <c r="K6" s="19" t="s">
        <v>34</v>
      </c>
      <c r="L6" s="19" t="s">
        <v>233</v>
      </c>
      <c r="M6" s="19" t="s">
        <v>234</v>
      </c>
      <c r="N6" s="19" t="s">
        <v>235</v>
      </c>
      <c r="O6" s="19" t="s">
        <v>236</v>
      </c>
      <c r="P6" s="19" t="s">
        <v>237</v>
      </c>
      <c r="Q6" s="19" t="s">
        <v>238</v>
      </c>
    </row>
    <row r="7" spans="1:17" x14ac:dyDescent="0.25">
      <c r="A7" s="20" t="s">
        <v>190</v>
      </c>
      <c r="B7" s="20" t="s">
        <v>38</v>
      </c>
      <c r="C7" s="20" t="s">
        <v>239</v>
      </c>
      <c r="D7" s="22">
        <v>0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8">
        <f>IF(D7=F7+H7+J7,"Correcto","Falso")</f>
      </c>
      <c r="M7" s="28">
        <f>IF(E7=G7+I7+K7,"Correcto","Falso")</f>
      </c>
      <c r="N7" s="29">
        <f>D7-(F7+H7+J7)</f>
      </c>
      <c r="O7" s="29">
        <f>E7-(G7+I7+K7)</f>
      </c>
      <c r="P7" s="30">
        <f>IF(D7&gt;0,F7/D7,0)</f>
      </c>
      <c r="Q7" s="30">
        <f>IF(D7&gt;0,J7/D7,0)</f>
      </c>
    </row>
    <row r="8" spans="1:17" x14ac:dyDescent="0.25">
      <c r="A8" s="20" t="s">
        <v>190</v>
      </c>
      <c r="B8" s="20" t="s">
        <v>38</v>
      </c>
      <c r="C8" s="20" t="s">
        <v>240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8">
        <f>IF(D8=F8+H8+J8,"Correcto","Falso")</f>
      </c>
      <c r="M8" s="28">
        <f>IF(E8=G8+I8+K8,"Correcto","Falso")</f>
      </c>
      <c r="N8" s="29">
        <f>D8-(F8+H8+J8)</f>
      </c>
      <c r="O8" s="29">
        <f>E8-(G8+I8+K8)</f>
      </c>
      <c r="P8" s="30">
        <f>IF(D8&gt;0,F8/D8,0)</f>
      </c>
      <c r="Q8" s="30">
        <f>IF(D8&gt;0,J8/D8,0)</f>
      </c>
    </row>
    <row r="9" spans="1:17" x14ac:dyDescent="0.25">
      <c r="A9" s="20" t="s">
        <v>190</v>
      </c>
      <c r="B9" s="20" t="s">
        <v>38</v>
      </c>
      <c r="C9" s="20" t="s">
        <v>241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8">
        <f>IF(D9=F9+H9+J9,"Correcto","Falso")</f>
      </c>
      <c r="M9" s="28">
        <f>IF(E9=G9+I9+K9,"Correcto","Falso")</f>
      </c>
      <c r="N9" s="29">
        <f>D9-(F9+H9+J9)</f>
      </c>
      <c r="O9" s="29">
        <f>E9-(G9+I9+K9)</f>
      </c>
      <c r="P9" s="30">
        <f>IF(D9&gt;0,F9/D9,0)</f>
      </c>
      <c r="Q9" s="30">
        <f>IF(D9&gt;0,J9/D9,0)</f>
      </c>
    </row>
    <row r="10" spans="1:17" x14ac:dyDescent="0.25">
      <c r="A10" s="20" t="s">
        <v>190</v>
      </c>
      <c r="B10" s="20" t="s">
        <v>38</v>
      </c>
      <c r="C10" s="20" t="s">
        <v>242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8">
        <f>IF(D10=F10+H10+J10,"Correcto","Falso")</f>
      </c>
      <c r="M10" s="28">
        <f>IF(E10=G10+I10+K10,"Correcto","Falso")</f>
      </c>
      <c r="N10" s="29">
        <f>D10-(F10+H10+J10)</f>
      </c>
      <c r="O10" s="29">
        <f>E10-(G10+I10+K10)</f>
      </c>
      <c r="P10" s="30">
        <f>IF(D10&gt;0,F10/D10,0)</f>
      </c>
      <c r="Q10" s="30">
        <f>IF(D10&gt;0,J10/D10,0)</f>
      </c>
    </row>
    <row r="11" spans="1:17" x14ac:dyDescent="0.25">
      <c r="A11" s="20" t="s">
        <v>190</v>
      </c>
      <c r="B11" s="20" t="s">
        <v>38</v>
      </c>
      <c r="C11" s="20" t="s">
        <v>243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8">
        <f>IF(D11=F11+H11+J11,"Correcto","Falso")</f>
      </c>
      <c r="M11" s="28">
        <f>IF(E11=G11+I11+K11,"Correcto","Falso")</f>
      </c>
      <c r="N11" s="29">
        <f>D11-(F11+H11+J11)</f>
      </c>
      <c r="O11" s="29">
        <f>E11-(G11+I11+K11)</f>
      </c>
      <c r="P11" s="30">
        <f>IF(D11&gt;0,F11/D11,0)</f>
      </c>
      <c r="Q11" s="30">
        <f>IF(D11&gt;0,J11/D11,0)</f>
      </c>
    </row>
    <row r="12" spans="1:17" x14ac:dyDescent="0.25">
      <c r="A12" s="20" t="s">
        <v>190</v>
      </c>
      <c r="B12" s="20" t="s">
        <v>38</v>
      </c>
      <c r="C12" s="20" t="s">
        <v>244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8">
        <f>IF(D12=F12+H12+J12,"Correcto","Falso")</f>
      </c>
      <c r="M12" s="28">
        <f>IF(E12=G12+I12+K12,"Correcto","Falso")</f>
      </c>
      <c r="N12" s="29">
        <f>D12-(F12+H12+J12)</f>
      </c>
      <c r="O12" s="29">
        <f>E12-(G12+I12+K12)</f>
      </c>
      <c r="P12" s="30">
        <f>IF(D12&gt;0,F12/D12,0)</f>
      </c>
      <c r="Q12" s="30">
        <f>IF(D12&gt;0,J12/D12,0)</f>
      </c>
    </row>
    <row r="13" spans="1:17" x14ac:dyDescent="0.25">
      <c r="A13" s="20" t="s">
        <v>190</v>
      </c>
      <c r="B13" s="20" t="s">
        <v>38</v>
      </c>
      <c r="C13" s="20" t="s">
        <v>245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8">
        <f>IF(D13=F13+H13+J13,"Correcto","Falso")</f>
      </c>
      <c r="M13" s="28">
        <f>IF(E13=G13+I13+K13,"Correcto","Falso")</f>
      </c>
      <c r="N13" s="29">
        <f>D13-(F13+H13+J13)</f>
      </c>
      <c r="O13" s="29">
        <f>E13-(G13+I13+K13)</f>
      </c>
      <c r="P13" s="30">
        <f>IF(D13&gt;0,F13/D13,0)</f>
      </c>
      <c r="Q13" s="30">
        <f>IF(D13&gt;0,J13/D13,0)</f>
      </c>
    </row>
    <row r="14" spans="1:17" x14ac:dyDescent="0.25">
      <c r="A14" s="20" t="s">
        <v>190</v>
      </c>
      <c r="B14" s="20" t="s">
        <v>38</v>
      </c>
      <c r="C14" s="20" t="s">
        <v>246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8">
        <f>IF(D14=F14+H14+J14,"Correcto","Falso")</f>
      </c>
      <c r="M14" s="28">
        <f>IF(E14=G14+I14+K14,"Correcto","Falso")</f>
      </c>
      <c r="N14" s="29">
        <f>D14-(F14+H14+J14)</f>
      </c>
      <c r="O14" s="29">
        <f>E14-(G14+I14+K14)</f>
      </c>
      <c r="P14" s="30">
        <f>IF(D14&gt;0,F14/D14,0)</f>
      </c>
      <c r="Q14" s="30">
        <f>IF(D14&gt;0,J14/D14,0)</f>
      </c>
    </row>
    <row r="15" spans="1:17" x14ac:dyDescent="0.25">
      <c r="A15" s="20" t="s">
        <v>190</v>
      </c>
      <c r="B15" s="20" t="s">
        <v>39</v>
      </c>
      <c r="C15" s="20" t="s">
        <v>239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8">
        <f>IF(D15=F15+H15+J15,"Correcto","Falso")</f>
      </c>
      <c r="M15" s="28">
        <f>IF(E15=G15+I15+K15,"Correcto","Falso")</f>
      </c>
      <c r="N15" s="29">
        <f>D15-(F15+H15+J15)</f>
      </c>
      <c r="O15" s="29">
        <f>E15-(G15+I15+K15)</f>
      </c>
      <c r="P15" s="30">
        <f>IF(D15&gt;0,F15/D15,0)</f>
      </c>
      <c r="Q15" s="30">
        <f>IF(D15&gt;0,J15/D15,0)</f>
      </c>
    </row>
    <row r="16" spans="1:17" x14ac:dyDescent="0.25">
      <c r="A16" s="20" t="s">
        <v>190</v>
      </c>
      <c r="B16" s="20" t="s">
        <v>39</v>
      </c>
      <c r="C16" s="20" t="s">
        <v>240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8">
        <f>IF(D16=F16+H16+J16,"Correcto","Falso")</f>
      </c>
      <c r="M16" s="28">
        <f>IF(E16=G16+I16+K16,"Correcto","Falso")</f>
      </c>
      <c r="N16" s="29">
        <f>D16-(F16+H16+J16)</f>
      </c>
      <c r="O16" s="29">
        <f>E16-(G16+I16+K16)</f>
      </c>
      <c r="P16" s="30">
        <f>IF(D16&gt;0,F16/D16,0)</f>
      </c>
      <c r="Q16" s="30">
        <f>IF(D16&gt;0,J16/D16,0)</f>
      </c>
    </row>
    <row r="17" spans="1:17" x14ac:dyDescent="0.25">
      <c r="A17" s="20" t="s">
        <v>190</v>
      </c>
      <c r="B17" s="20" t="s">
        <v>39</v>
      </c>
      <c r="C17" s="20" t="s">
        <v>241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8">
        <f>IF(D17=F17+H17+J17,"Correcto","Falso")</f>
      </c>
      <c r="M17" s="28">
        <f>IF(E17=G17+I17+K17,"Correcto","Falso")</f>
      </c>
      <c r="N17" s="29">
        <f>D17-(F17+H17+J17)</f>
      </c>
      <c r="O17" s="29">
        <f>E17-(G17+I17+K17)</f>
      </c>
      <c r="P17" s="30">
        <f>IF(D17&gt;0,F17/D17,0)</f>
      </c>
      <c r="Q17" s="30">
        <f>IF(D17&gt;0,J17/D17,0)</f>
      </c>
    </row>
    <row r="18" spans="1:17" x14ac:dyDescent="0.25">
      <c r="A18" s="20" t="s">
        <v>190</v>
      </c>
      <c r="B18" s="20" t="s">
        <v>39</v>
      </c>
      <c r="C18" s="20" t="s">
        <v>242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8">
        <f>IF(D18=F18+H18+J18,"Correcto","Falso")</f>
      </c>
      <c r="M18" s="28">
        <f>IF(E18=G18+I18+K18,"Correcto","Falso")</f>
      </c>
      <c r="N18" s="29">
        <f>D18-(F18+H18+J18)</f>
      </c>
      <c r="O18" s="29">
        <f>E18-(G18+I18+K18)</f>
      </c>
      <c r="P18" s="30">
        <f>IF(D18&gt;0,F18/D18,0)</f>
      </c>
      <c r="Q18" s="30">
        <f>IF(D18&gt;0,J18/D18,0)</f>
      </c>
    </row>
    <row r="19" spans="1:17" x14ac:dyDescent="0.25">
      <c r="A19" s="20" t="s">
        <v>190</v>
      </c>
      <c r="B19" s="20" t="s">
        <v>39</v>
      </c>
      <c r="C19" s="20" t="s">
        <v>243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8">
        <f>IF(D19=F19+H19+J19,"Correcto","Falso")</f>
      </c>
      <c r="M19" s="28">
        <f>IF(E19=G19+I19+K19,"Correcto","Falso")</f>
      </c>
      <c r="N19" s="29">
        <f>D19-(F19+H19+J19)</f>
      </c>
      <c r="O19" s="29">
        <f>E19-(G19+I19+K19)</f>
      </c>
      <c r="P19" s="30">
        <f>IF(D19&gt;0,F19/D19,0)</f>
      </c>
      <c r="Q19" s="30">
        <f>IF(D19&gt;0,J19/D19,0)</f>
      </c>
    </row>
    <row r="20" spans="1:17" x14ac:dyDescent="0.25">
      <c r="A20" s="20" t="s">
        <v>190</v>
      </c>
      <c r="B20" s="20" t="s">
        <v>39</v>
      </c>
      <c r="C20" s="20" t="s">
        <v>244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8">
        <f>IF(D20=F20+H20+J20,"Correcto","Falso")</f>
      </c>
      <c r="M20" s="28">
        <f>IF(E20=G20+I20+K20,"Correcto","Falso")</f>
      </c>
      <c r="N20" s="29">
        <f>D20-(F20+H20+J20)</f>
      </c>
      <c r="O20" s="29">
        <f>E20-(G20+I20+K20)</f>
      </c>
      <c r="P20" s="30">
        <f>IF(D20&gt;0,F20/D20,0)</f>
      </c>
      <c r="Q20" s="30">
        <f>IF(D20&gt;0,J20/D20,0)</f>
      </c>
    </row>
    <row r="21" spans="1:17" x14ac:dyDescent="0.25">
      <c r="A21" s="20" t="s">
        <v>190</v>
      </c>
      <c r="B21" s="20" t="s">
        <v>39</v>
      </c>
      <c r="C21" s="20" t="s">
        <v>245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8">
        <f>IF(D21=F21+H21+J21,"Correcto","Falso")</f>
      </c>
      <c r="M21" s="28">
        <f>IF(E21=G21+I21+K21,"Correcto","Falso")</f>
      </c>
      <c r="N21" s="29">
        <f>D21-(F21+H21+J21)</f>
      </c>
      <c r="O21" s="29">
        <f>E21-(G21+I21+K21)</f>
      </c>
      <c r="P21" s="30">
        <f>IF(D21&gt;0,F21/D21,0)</f>
      </c>
      <c r="Q21" s="30">
        <f>IF(D21&gt;0,J21/D21,0)</f>
      </c>
    </row>
    <row r="22" spans="1:17" x14ac:dyDescent="0.25">
      <c r="A22" s="20" t="s">
        <v>190</v>
      </c>
      <c r="B22" s="20" t="s">
        <v>39</v>
      </c>
      <c r="C22" s="20" t="s">
        <v>246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8">
        <f>IF(D22=F22+H22+J22,"Correcto","Falso")</f>
      </c>
      <c r="M22" s="28">
        <f>IF(E22=G22+I22+K22,"Correcto","Falso")</f>
      </c>
      <c r="N22" s="29">
        <f>D22-(F22+H22+J22)</f>
      </c>
      <c r="O22" s="29">
        <f>E22-(G22+I22+K22)</f>
      </c>
      <c r="P22" s="30">
        <f>IF(D22&gt;0,F22/D22,0)</f>
      </c>
      <c r="Q22" s="30">
        <f>IF(D22&gt;0,J22/D22,0)</f>
      </c>
    </row>
    <row r="23" spans="1:17" x14ac:dyDescent="0.25">
      <c r="A23" s="20" t="s">
        <v>190</v>
      </c>
      <c r="B23" s="20" t="s">
        <v>40</v>
      </c>
      <c r="C23" s="20" t="s">
        <v>239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8">
        <f>IF(D23=F23+H23+J23,"Correcto","Falso")</f>
      </c>
      <c r="M23" s="28">
        <f>IF(E23=G23+I23+K23,"Correcto","Falso")</f>
      </c>
      <c r="N23" s="29">
        <f>D23-(F23+H23+J23)</f>
      </c>
      <c r="O23" s="29">
        <f>E23-(G23+I23+K23)</f>
      </c>
      <c r="P23" s="30">
        <f>IF(D23&gt;0,F23/D23,0)</f>
      </c>
      <c r="Q23" s="30">
        <f>IF(D23&gt;0,J23/D23,0)</f>
      </c>
    </row>
    <row r="24" spans="1:17" x14ac:dyDescent="0.25">
      <c r="A24" s="20" t="s">
        <v>190</v>
      </c>
      <c r="B24" s="20" t="s">
        <v>40</v>
      </c>
      <c r="C24" s="20" t="s">
        <v>240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8">
        <f>IF(D24=F24+H24+J24,"Correcto","Falso")</f>
      </c>
      <c r="M24" s="28">
        <f>IF(E24=G24+I24+K24,"Correcto","Falso")</f>
      </c>
      <c r="N24" s="29">
        <f>D24-(F24+H24+J24)</f>
      </c>
      <c r="O24" s="29">
        <f>E24-(G24+I24+K24)</f>
      </c>
      <c r="P24" s="30">
        <f>IF(D24&gt;0,F24/D24,0)</f>
      </c>
      <c r="Q24" s="30">
        <f>IF(D24&gt;0,J24/D24,0)</f>
      </c>
    </row>
    <row r="25" spans="1:17" x14ac:dyDescent="0.25">
      <c r="A25" s="20" t="s">
        <v>190</v>
      </c>
      <c r="B25" s="20" t="s">
        <v>40</v>
      </c>
      <c r="C25" s="20" t="s">
        <v>241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8">
        <f>IF(D25=F25+H25+J25,"Correcto","Falso")</f>
      </c>
      <c r="M25" s="28">
        <f>IF(E25=G25+I25+K25,"Correcto","Falso")</f>
      </c>
      <c r="N25" s="29">
        <f>D25-(F25+H25+J25)</f>
      </c>
      <c r="O25" s="29">
        <f>E25-(G25+I25+K25)</f>
      </c>
      <c r="P25" s="30">
        <f>IF(D25&gt;0,F25/D25,0)</f>
      </c>
      <c r="Q25" s="30">
        <f>IF(D25&gt;0,J25/D25,0)</f>
      </c>
    </row>
    <row r="26" spans="1:17" x14ac:dyDescent="0.25">
      <c r="A26" s="20" t="s">
        <v>190</v>
      </c>
      <c r="B26" s="20" t="s">
        <v>40</v>
      </c>
      <c r="C26" s="20" t="s">
        <v>242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8">
        <f>IF(D26=F26+H26+J26,"Correcto","Falso")</f>
      </c>
      <c r="M26" s="28">
        <f>IF(E26=G26+I26+K26,"Correcto","Falso")</f>
      </c>
      <c r="N26" s="29">
        <f>D26-(F26+H26+J26)</f>
      </c>
      <c r="O26" s="29">
        <f>E26-(G26+I26+K26)</f>
      </c>
      <c r="P26" s="30">
        <f>IF(D26&gt;0,F26/D26,0)</f>
      </c>
      <c r="Q26" s="30">
        <f>IF(D26&gt;0,J26/D26,0)</f>
      </c>
    </row>
    <row r="27" spans="1:17" x14ac:dyDescent="0.25">
      <c r="A27" s="20" t="s">
        <v>190</v>
      </c>
      <c r="B27" s="20" t="s">
        <v>40</v>
      </c>
      <c r="C27" s="20" t="s">
        <v>243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8">
        <f>IF(D27=F27+H27+J27,"Correcto","Falso")</f>
      </c>
      <c r="M27" s="28">
        <f>IF(E27=G27+I27+K27,"Correcto","Falso")</f>
      </c>
      <c r="N27" s="29">
        <f>D27-(F27+H27+J27)</f>
      </c>
      <c r="O27" s="29">
        <f>E27-(G27+I27+K27)</f>
      </c>
      <c r="P27" s="30">
        <f>IF(D27&gt;0,F27/D27,0)</f>
      </c>
      <c r="Q27" s="30">
        <f>IF(D27&gt;0,J27/D27,0)</f>
      </c>
    </row>
    <row r="28" spans="1:17" x14ac:dyDescent="0.25">
      <c r="A28" s="20" t="s">
        <v>190</v>
      </c>
      <c r="B28" s="20" t="s">
        <v>40</v>
      </c>
      <c r="C28" s="20" t="s">
        <v>244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8">
        <f>IF(D28=F28+H28+J28,"Correcto","Falso")</f>
      </c>
      <c r="M28" s="28">
        <f>IF(E28=G28+I28+K28,"Correcto","Falso")</f>
      </c>
      <c r="N28" s="29">
        <f>D28-(F28+H28+J28)</f>
      </c>
      <c r="O28" s="29">
        <f>E28-(G28+I28+K28)</f>
      </c>
      <c r="P28" s="30">
        <f>IF(D28&gt;0,F28/D28,0)</f>
      </c>
      <c r="Q28" s="30">
        <f>IF(D28&gt;0,J28/D28,0)</f>
      </c>
    </row>
    <row r="29" spans="1:17" x14ac:dyDescent="0.25">
      <c r="A29" s="20" t="s">
        <v>190</v>
      </c>
      <c r="B29" s="20" t="s">
        <v>40</v>
      </c>
      <c r="C29" s="20" t="s">
        <v>245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8">
        <f>IF(D29=F29+H29+J29,"Correcto","Falso")</f>
      </c>
      <c r="M29" s="28">
        <f>IF(E29=G29+I29+K29,"Correcto","Falso")</f>
      </c>
      <c r="N29" s="29">
        <f>D29-(F29+H29+J29)</f>
      </c>
      <c r="O29" s="29">
        <f>E29-(G29+I29+K29)</f>
      </c>
      <c r="P29" s="30">
        <f>IF(D29&gt;0,F29/D29,0)</f>
      </c>
      <c r="Q29" s="30">
        <f>IF(D29&gt;0,J29/D29,0)</f>
      </c>
    </row>
    <row r="30" spans="1:17" x14ac:dyDescent="0.25">
      <c r="A30" s="20" t="s">
        <v>190</v>
      </c>
      <c r="B30" s="20" t="s">
        <v>40</v>
      </c>
      <c r="C30" s="20" t="s">
        <v>246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8">
        <f>IF(D30=F30+H30+J30,"Correcto","Falso")</f>
      </c>
      <c r="M30" s="28">
        <f>IF(E30=G30+I30+K30,"Correcto","Falso")</f>
      </c>
      <c r="N30" s="29">
        <f>D30-(F30+H30+J30)</f>
      </c>
      <c r="O30" s="29">
        <f>E30-(G30+I30+K30)</f>
      </c>
      <c r="P30" s="30">
        <f>IF(D30&gt;0,F30/D30,0)</f>
      </c>
      <c r="Q30" s="30">
        <f>IF(D30&gt;0,J30/D30,0)</f>
      </c>
    </row>
    <row r="31" spans="1:17" x14ac:dyDescent="0.25">
      <c r="A31" s="20" t="s">
        <v>190</v>
      </c>
      <c r="B31" s="20" t="s">
        <v>247</v>
      </c>
      <c r="C31" s="20" t="s">
        <v>239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8">
        <f>IF(D31=F31+H31+J31,"Correcto","Falso")</f>
      </c>
      <c r="M31" s="28">
        <f>IF(E31=G31+I31+K31,"Correcto","Falso")</f>
      </c>
      <c r="N31" s="29">
        <f>D31-(F31+H31+J31)</f>
      </c>
      <c r="O31" s="29">
        <f>E31-(G31+I31+K31)</f>
      </c>
      <c r="P31" s="30">
        <f>IF(D31&gt;0,F31/D31,0)</f>
      </c>
      <c r="Q31" s="30">
        <f>IF(D31&gt;0,J31/D31,0)</f>
      </c>
    </row>
    <row r="32" spans="1:17" x14ac:dyDescent="0.25">
      <c r="A32" s="20" t="s">
        <v>190</v>
      </c>
      <c r="B32" s="20" t="s">
        <v>247</v>
      </c>
      <c r="C32" s="20" t="s">
        <v>240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8">
        <f>IF(D32=F32+H32+J32,"Correcto","Falso")</f>
      </c>
      <c r="M32" s="28">
        <f>IF(E32=G32+I32+K32,"Correcto","Falso")</f>
      </c>
      <c r="N32" s="29">
        <f>D32-(F32+H32+J32)</f>
      </c>
      <c r="O32" s="29">
        <f>E32-(G32+I32+K32)</f>
      </c>
      <c r="P32" s="30">
        <f>IF(D32&gt;0,F32/D32,0)</f>
      </c>
      <c r="Q32" s="30">
        <f>IF(D32&gt;0,J32/D32,0)</f>
      </c>
    </row>
    <row r="33" spans="1:17" x14ac:dyDescent="0.25">
      <c r="A33" s="20" t="s">
        <v>190</v>
      </c>
      <c r="B33" s="20" t="s">
        <v>247</v>
      </c>
      <c r="C33" s="20" t="s">
        <v>241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8">
        <f>IF(D33=F33+H33+J33,"Correcto","Falso")</f>
      </c>
      <c r="M33" s="28">
        <f>IF(E33=G33+I33+K33,"Correcto","Falso")</f>
      </c>
      <c r="N33" s="29">
        <f>D33-(F33+H33+J33)</f>
      </c>
      <c r="O33" s="29">
        <f>E33-(G33+I33+K33)</f>
      </c>
      <c r="P33" s="30">
        <f>IF(D33&gt;0,F33/D33,0)</f>
      </c>
      <c r="Q33" s="30">
        <f>IF(D33&gt;0,J33/D33,0)</f>
      </c>
    </row>
    <row r="34" spans="1:17" x14ac:dyDescent="0.25">
      <c r="A34" s="20" t="s">
        <v>190</v>
      </c>
      <c r="B34" s="20" t="s">
        <v>247</v>
      </c>
      <c r="C34" s="20" t="s">
        <v>242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8">
        <f>IF(D34=F34+H34+J34,"Correcto","Falso")</f>
      </c>
      <c r="M34" s="28">
        <f>IF(E34=G34+I34+K34,"Correcto","Falso")</f>
      </c>
      <c r="N34" s="29">
        <f>D34-(F34+H34+J34)</f>
      </c>
      <c r="O34" s="29">
        <f>E34-(G34+I34+K34)</f>
      </c>
      <c r="P34" s="30">
        <f>IF(D34&gt;0,F34/D34,0)</f>
      </c>
      <c r="Q34" s="30">
        <f>IF(D34&gt;0,J34/D34,0)</f>
      </c>
    </row>
    <row r="35" spans="1:17" x14ac:dyDescent="0.25">
      <c r="A35" s="20" t="s">
        <v>190</v>
      </c>
      <c r="B35" s="20" t="s">
        <v>247</v>
      </c>
      <c r="C35" s="20" t="s">
        <v>243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8">
        <f>IF(D35=F35+H35+J35,"Correcto","Falso")</f>
      </c>
      <c r="M35" s="28">
        <f>IF(E35=G35+I35+K35,"Correcto","Falso")</f>
      </c>
      <c r="N35" s="29">
        <f>D35-(F35+H35+J35)</f>
      </c>
      <c r="O35" s="29">
        <f>E35-(G35+I35+K35)</f>
      </c>
      <c r="P35" s="30">
        <f>IF(D35&gt;0,F35/D35,0)</f>
      </c>
      <c r="Q35" s="30">
        <f>IF(D35&gt;0,J35/D35,0)</f>
      </c>
    </row>
    <row r="36" spans="1:17" x14ac:dyDescent="0.25">
      <c r="A36" s="20" t="s">
        <v>190</v>
      </c>
      <c r="B36" s="20" t="s">
        <v>247</v>
      </c>
      <c r="C36" s="20" t="s">
        <v>244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8">
        <f>IF(D36=F36+H36+J36,"Correcto","Falso")</f>
      </c>
      <c r="M36" s="28">
        <f>IF(E36=G36+I36+K36,"Correcto","Falso")</f>
      </c>
      <c r="N36" s="29">
        <f>D36-(F36+H36+J36)</f>
      </c>
      <c r="O36" s="29">
        <f>E36-(G36+I36+K36)</f>
      </c>
      <c r="P36" s="30">
        <f>IF(D36&gt;0,F36/D36,0)</f>
      </c>
      <c r="Q36" s="30">
        <f>IF(D36&gt;0,J36/D36,0)</f>
      </c>
    </row>
    <row r="37" spans="1:17" x14ac:dyDescent="0.25">
      <c r="A37" s="20" t="s">
        <v>190</v>
      </c>
      <c r="B37" s="20" t="s">
        <v>247</v>
      </c>
      <c r="C37" s="20" t="s">
        <v>245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8">
        <f>IF(D37=F37+H37+J37,"Correcto","Falso")</f>
      </c>
      <c r="M37" s="28">
        <f>IF(E37=G37+I37+K37,"Correcto","Falso")</f>
      </c>
      <c r="N37" s="29">
        <f>D37-(F37+H37+J37)</f>
      </c>
      <c r="O37" s="29">
        <f>E37-(G37+I37+K37)</f>
      </c>
      <c r="P37" s="30">
        <f>IF(D37&gt;0,F37/D37,0)</f>
      </c>
      <c r="Q37" s="30">
        <f>IF(D37&gt;0,J37/D37,0)</f>
      </c>
    </row>
    <row r="38" spans="1:17" x14ac:dyDescent="0.25">
      <c r="A38" s="20" t="s">
        <v>190</v>
      </c>
      <c r="B38" s="20" t="s">
        <v>247</v>
      </c>
      <c r="C38" s="20" t="s">
        <v>246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8">
        <f>IF(D38=F38+H38+J38,"Correcto","Falso")</f>
      </c>
      <c r="M38" s="28">
        <f>IF(E38=G38+I38+K38,"Correcto","Falso")</f>
      </c>
      <c r="N38" s="29">
        <f>D38-(F38+H38+J38)</f>
      </c>
      <c r="O38" s="29">
        <f>E38-(G38+I38+K38)</f>
      </c>
      <c r="P38" s="30">
        <f>IF(D38&gt;0,F38/D38,0)</f>
      </c>
      <c r="Q38" s="30">
        <f>IF(D38&gt;0,J38/D38,0)</f>
      </c>
    </row>
    <row r="39" spans="1:17" x14ac:dyDescent="0.25">
      <c r="A39" s="20" t="s">
        <v>190</v>
      </c>
      <c r="B39" s="20" t="s">
        <v>38</v>
      </c>
      <c r="C39" s="20" t="s">
        <v>248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8">
        <f>IF(D39=F39+H39+J39,"Correcto","Falso")</f>
      </c>
      <c r="M39" s="28">
        <f>IF(E39=G39+I39+K39,"Correcto","Falso")</f>
      </c>
      <c r="N39" s="29">
        <f>D39-(F39+H39+J39)</f>
      </c>
      <c r="O39" s="29">
        <f>E39-(G39+I39+K39)</f>
      </c>
      <c r="P39" s="30">
        <f>IF(D39&gt;0,F39/D39,0)</f>
      </c>
      <c r="Q39" s="30">
        <f>IF(D39&gt;0,J39/D39,0)</f>
      </c>
    </row>
    <row r="40" spans="1:17" x14ac:dyDescent="0.25">
      <c r="A40" s="20" t="s">
        <v>190</v>
      </c>
      <c r="B40" s="20" t="s">
        <v>38</v>
      </c>
      <c r="C40" s="20" t="s">
        <v>249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8">
        <f>IF(D40=F40+H40+J40,"Correcto","Falso")</f>
      </c>
      <c r="M40" s="28">
        <f>IF(E40=G40+I40+K40,"Correcto","Falso")</f>
      </c>
      <c r="N40" s="29">
        <f>D40-(F40+H40+J40)</f>
      </c>
      <c r="O40" s="29">
        <f>E40-(G40+I40+K40)</f>
      </c>
      <c r="P40" s="30">
        <f>IF(D40&gt;0,F40/D40,0)</f>
      </c>
      <c r="Q40" s="30">
        <f>IF(D40&gt;0,J40/D40,0)</f>
      </c>
    </row>
    <row r="41" spans="1:17" x14ac:dyDescent="0.25">
      <c r="A41" s="20" t="s">
        <v>190</v>
      </c>
      <c r="B41" s="20" t="s">
        <v>38</v>
      </c>
      <c r="C41" s="20" t="s">
        <v>250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8">
        <f>IF(D41=F41+H41+J41,"Correcto","Falso")</f>
      </c>
      <c r="M41" s="28">
        <f>IF(E41=G41+I41+K41,"Correcto","Falso")</f>
      </c>
      <c r="N41" s="29">
        <f>D41-(F41+H41+J41)</f>
      </c>
      <c r="O41" s="29">
        <f>E41-(G41+I41+K41)</f>
      </c>
      <c r="P41" s="30">
        <f>IF(D41&gt;0,F41/D41,0)</f>
      </c>
      <c r="Q41" s="30">
        <f>IF(D41&gt;0,J41/D41,0)</f>
      </c>
    </row>
    <row r="42" spans="1:17" x14ac:dyDescent="0.25">
      <c r="A42" s="20" t="s">
        <v>190</v>
      </c>
      <c r="B42" s="20" t="s">
        <v>38</v>
      </c>
      <c r="C42" s="20" t="s">
        <v>251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8">
        <f>IF(D42=F42+H42+J42,"Correcto","Falso")</f>
      </c>
      <c r="M42" s="28">
        <f>IF(E42=G42+I42+K42,"Correcto","Falso")</f>
      </c>
      <c r="N42" s="29">
        <f>D42-(F42+H42+J42)</f>
      </c>
      <c r="O42" s="29">
        <f>E42-(G42+I42+K42)</f>
      </c>
      <c r="P42" s="30">
        <f>IF(D42&gt;0,F42/D42,0)</f>
      </c>
      <c r="Q42" s="30">
        <f>IF(D42&gt;0,J42/D42,0)</f>
      </c>
    </row>
    <row r="43" spans="1:17" x14ac:dyDescent="0.25">
      <c r="A43" s="20" t="s">
        <v>190</v>
      </c>
      <c r="B43" s="20" t="s">
        <v>38</v>
      </c>
      <c r="C43" s="20" t="s">
        <v>252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8">
        <f>IF(D43=F43+H43+J43,"Correcto","Falso")</f>
      </c>
      <c r="M43" s="28">
        <f>IF(E43=G43+I43+K43,"Correcto","Falso")</f>
      </c>
      <c r="N43" s="29">
        <f>D43-(F43+H43+J43)</f>
      </c>
      <c r="O43" s="29">
        <f>E43-(G43+I43+K43)</f>
      </c>
      <c r="P43" s="30">
        <f>IF(D43&gt;0,F43/D43,0)</f>
      </c>
      <c r="Q43" s="30">
        <f>IF(D43&gt;0,J43/D43,0)</f>
      </c>
    </row>
    <row r="44" spans="1:17" x14ac:dyDescent="0.25">
      <c r="A44" s="20" t="s">
        <v>190</v>
      </c>
      <c r="B44" s="20" t="s">
        <v>38</v>
      </c>
      <c r="C44" s="20" t="s">
        <v>253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8">
        <f>IF(D44=F44+H44+J44,"Correcto","Falso")</f>
      </c>
      <c r="M44" s="28">
        <f>IF(E44=G44+I44+K44,"Correcto","Falso")</f>
      </c>
      <c r="N44" s="29">
        <f>D44-(F44+H44+J44)</f>
      </c>
      <c r="O44" s="29">
        <f>E44-(G44+I44+K44)</f>
      </c>
      <c r="P44" s="30">
        <f>IF(D44&gt;0,F44/D44,0)</f>
      </c>
      <c r="Q44" s="30">
        <f>IF(D44&gt;0,J44/D44,0)</f>
      </c>
    </row>
    <row r="45" spans="1:17" x14ac:dyDescent="0.25">
      <c r="A45" s="20" t="s">
        <v>190</v>
      </c>
      <c r="B45" s="20" t="s">
        <v>38</v>
      </c>
      <c r="C45" s="20" t="s">
        <v>254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8">
        <f>IF(D45=F45+H45+J45,"Correcto","Falso")</f>
      </c>
      <c r="M45" s="28">
        <f>IF(E45=G45+I45+K45,"Correcto","Falso")</f>
      </c>
      <c r="N45" s="29">
        <f>D45-(F45+H45+J45)</f>
      </c>
      <c r="O45" s="29">
        <f>E45-(G45+I45+K45)</f>
      </c>
      <c r="P45" s="30">
        <f>IF(D45&gt;0,F45/D45,0)</f>
      </c>
      <c r="Q45" s="30">
        <f>IF(D45&gt;0,J45/D45,0)</f>
      </c>
    </row>
    <row r="46" spans="1:17" x14ac:dyDescent="0.25">
      <c r="A46" s="20" t="s">
        <v>190</v>
      </c>
      <c r="B46" s="20" t="s">
        <v>38</v>
      </c>
      <c r="C46" s="20" t="s">
        <v>255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8">
        <f>IF(D46=F46+H46+J46,"Correcto","Falso")</f>
      </c>
      <c r="M46" s="28">
        <f>IF(E46=G46+I46+K46,"Correcto","Falso")</f>
      </c>
      <c r="N46" s="29">
        <f>D46-(F46+H46+J46)</f>
      </c>
      <c r="O46" s="29">
        <f>E46-(G46+I46+K46)</f>
      </c>
      <c r="P46" s="30">
        <f>IF(D46&gt;0,F46/D46,0)</f>
      </c>
      <c r="Q46" s="30">
        <f>IF(D46&gt;0,J46/D46,0)</f>
      </c>
    </row>
    <row r="47" spans="1:17" x14ac:dyDescent="0.25">
      <c r="A47" s="20" t="s">
        <v>190</v>
      </c>
      <c r="B47" s="20" t="s">
        <v>39</v>
      </c>
      <c r="C47" s="20" t="s">
        <v>248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8">
        <f>IF(D47=F47+H47+J47,"Correcto","Falso")</f>
      </c>
      <c r="M47" s="28">
        <f>IF(E47=G47+I47+K47,"Correcto","Falso")</f>
      </c>
      <c r="N47" s="29">
        <f>D47-(F47+H47+J47)</f>
      </c>
      <c r="O47" s="29">
        <f>E47-(G47+I47+K47)</f>
      </c>
      <c r="P47" s="30">
        <f>IF(D47&gt;0,F47/D47,0)</f>
      </c>
      <c r="Q47" s="30">
        <f>IF(D47&gt;0,J47/D47,0)</f>
      </c>
    </row>
    <row r="48" spans="1:17" x14ac:dyDescent="0.25">
      <c r="A48" s="20" t="s">
        <v>190</v>
      </c>
      <c r="B48" s="20" t="s">
        <v>39</v>
      </c>
      <c r="C48" s="20" t="s">
        <v>249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8">
        <f>IF(D48=F48+H48+J48,"Correcto","Falso")</f>
      </c>
      <c r="M48" s="28">
        <f>IF(E48=G48+I48+K48,"Correcto","Falso")</f>
      </c>
      <c r="N48" s="29">
        <f>D48-(F48+H48+J48)</f>
      </c>
      <c r="O48" s="29">
        <f>E48-(G48+I48+K48)</f>
      </c>
      <c r="P48" s="30">
        <f>IF(D48&gt;0,F48/D48,0)</f>
      </c>
      <c r="Q48" s="30">
        <f>IF(D48&gt;0,J48/D48,0)</f>
      </c>
    </row>
    <row r="49" spans="1:17" x14ac:dyDescent="0.25">
      <c r="A49" s="20" t="s">
        <v>190</v>
      </c>
      <c r="B49" s="20" t="s">
        <v>39</v>
      </c>
      <c r="C49" s="20" t="s">
        <v>250</v>
      </c>
      <c r="D49" s="22">
        <v>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8">
        <f>IF(D49=F49+H49+J49,"Correcto","Falso")</f>
      </c>
      <c r="M49" s="28">
        <f>IF(E49=G49+I49+K49,"Correcto","Falso")</f>
      </c>
      <c r="N49" s="29">
        <f>D49-(F49+H49+J49)</f>
      </c>
      <c r="O49" s="29">
        <f>E49-(G49+I49+K49)</f>
      </c>
      <c r="P49" s="30">
        <f>IF(D49&gt;0,F49/D49,0)</f>
      </c>
      <c r="Q49" s="30">
        <f>IF(D49&gt;0,J49/D49,0)</f>
      </c>
    </row>
    <row r="50" spans="1:17" x14ac:dyDescent="0.25">
      <c r="A50" s="20" t="s">
        <v>190</v>
      </c>
      <c r="B50" s="20" t="s">
        <v>39</v>
      </c>
      <c r="C50" s="20" t="s">
        <v>251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8">
        <f>IF(D50=F50+H50+J50,"Correcto","Falso")</f>
      </c>
      <c r="M50" s="28">
        <f>IF(E50=G50+I50+K50,"Correcto","Falso")</f>
      </c>
      <c r="N50" s="29">
        <f>D50-(F50+H50+J50)</f>
      </c>
      <c r="O50" s="29">
        <f>E50-(G50+I50+K50)</f>
      </c>
      <c r="P50" s="30">
        <f>IF(D50&gt;0,F50/D50,0)</f>
      </c>
      <c r="Q50" s="30">
        <f>IF(D50&gt;0,J50/D50,0)</f>
      </c>
    </row>
    <row r="51" spans="1:17" x14ac:dyDescent="0.25">
      <c r="A51" s="20" t="s">
        <v>190</v>
      </c>
      <c r="B51" s="20" t="s">
        <v>39</v>
      </c>
      <c r="C51" s="20" t="s">
        <v>252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8">
        <f>IF(D51=F51+H51+J51,"Correcto","Falso")</f>
      </c>
      <c r="M51" s="28">
        <f>IF(E51=G51+I51+K51,"Correcto","Falso")</f>
      </c>
      <c r="N51" s="29">
        <f>D51-(F51+H51+J51)</f>
      </c>
      <c r="O51" s="29">
        <f>E51-(G51+I51+K51)</f>
      </c>
      <c r="P51" s="30">
        <f>IF(D51&gt;0,F51/D51,0)</f>
      </c>
      <c r="Q51" s="30">
        <f>IF(D51&gt;0,J51/D51,0)</f>
      </c>
    </row>
    <row r="52" spans="1:17" x14ac:dyDescent="0.25">
      <c r="A52" s="20" t="s">
        <v>190</v>
      </c>
      <c r="B52" s="20" t="s">
        <v>39</v>
      </c>
      <c r="C52" s="20" t="s">
        <v>253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8">
        <f>IF(D52=F52+H52+J52,"Correcto","Falso")</f>
      </c>
      <c r="M52" s="28">
        <f>IF(E52=G52+I52+K52,"Correcto","Falso")</f>
      </c>
      <c r="N52" s="29">
        <f>D52-(F52+H52+J52)</f>
      </c>
      <c r="O52" s="29">
        <f>E52-(G52+I52+K52)</f>
      </c>
      <c r="P52" s="30">
        <f>IF(D52&gt;0,F52/D52,0)</f>
      </c>
      <c r="Q52" s="30">
        <f>IF(D52&gt;0,J52/D52,0)</f>
      </c>
    </row>
    <row r="53" spans="1:17" x14ac:dyDescent="0.25">
      <c r="A53" s="20" t="s">
        <v>190</v>
      </c>
      <c r="B53" s="20" t="s">
        <v>39</v>
      </c>
      <c r="C53" s="20" t="s">
        <v>254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8">
        <f>IF(D53=F53+H53+J53,"Correcto","Falso")</f>
      </c>
      <c r="M53" s="28">
        <f>IF(E53=G53+I53+K53,"Correcto","Falso")</f>
      </c>
      <c r="N53" s="29">
        <f>D53-(F53+H53+J53)</f>
      </c>
      <c r="O53" s="29">
        <f>E53-(G53+I53+K53)</f>
      </c>
      <c r="P53" s="30">
        <f>IF(D53&gt;0,F53/D53,0)</f>
      </c>
      <c r="Q53" s="30">
        <f>IF(D53&gt;0,J53/D53,0)</f>
      </c>
    </row>
    <row r="54" spans="1:17" x14ac:dyDescent="0.25">
      <c r="A54" s="20" t="s">
        <v>190</v>
      </c>
      <c r="B54" s="20" t="s">
        <v>39</v>
      </c>
      <c r="C54" s="20" t="s">
        <v>255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8">
        <f>IF(D54=F54+H54+J54,"Correcto","Falso")</f>
      </c>
      <c r="M54" s="28">
        <f>IF(E54=G54+I54+K54,"Correcto","Falso")</f>
      </c>
      <c r="N54" s="29">
        <f>D54-(F54+H54+J54)</f>
      </c>
      <c r="O54" s="29">
        <f>E54-(G54+I54+K54)</f>
      </c>
      <c r="P54" s="30">
        <f>IF(D54&gt;0,F54/D54,0)</f>
      </c>
      <c r="Q54" s="30">
        <f>IF(D54&gt;0,J54/D54,0)</f>
      </c>
    </row>
    <row r="55" spans="1:17" x14ac:dyDescent="0.25">
      <c r="A55" s="20" t="s">
        <v>190</v>
      </c>
      <c r="B55" s="20" t="s">
        <v>40</v>
      </c>
      <c r="C55" s="20" t="s">
        <v>248</v>
      </c>
      <c r="D55" s="22">
        <v>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8">
        <f>IF(D55=F55+H55+J55,"Correcto","Falso")</f>
      </c>
      <c r="M55" s="28">
        <f>IF(E55=G55+I55+K55,"Correcto","Falso")</f>
      </c>
      <c r="N55" s="29">
        <f>D55-(F55+H55+J55)</f>
      </c>
      <c r="O55" s="29">
        <f>E55-(G55+I55+K55)</f>
      </c>
      <c r="P55" s="30">
        <f>IF(D55&gt;0,F55/D55,0)</f>
      </c>
      <c r="Q55" s="30">
        <f>IF(D55&gt;0,J55/D55,0)</f>
      </c>
    </row>
    <row r="56" spans="1:17" x14ac:dyDescent="0.25">
      <c r="A56" s="20" t="s">
        <v>190</v>
      </c>
      <c r="B56" s="20" t="s">
        <v>40</v>
      </c>
      <c r="C56" s="20" t="s">
        <v>249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8">
        <f>IF(D56=F56+H56+J56,"Correcto","Falso")</f>
      </c>
      <c r="M56" s="28">
        <f>IF(E56=G56+I56+K56,"Correcto","Falso")</f>
      </c>
      <c r="N56" s="29">
        <f>D56-(F56+H56+J56)</f>
      </c>
      <c r="O56" s="29">
        <f>E56-(G56+I56+K56)</f>
      </c>
      <c r="P56" s="30">
        <f>IF(D56&gt;0,F56/D56,0)</f>
      </c>
      <c r="Q56" s="30">
        <f>IF(D56&gt;0,J56/D56,0)</f>
      </c>
    </row>
    <row r="57" spans="1:17" x14ac:dyDescent="0.25">
      <c r="A57" s="20" t="s">
        <v>190</v>
      </c>
      <c r="B57" s="20" t="s">
        <v>40</v>
      </c>
      <c r="C57" s="20" t="s">
        <v>250</v>
      </c>
      <c r="D57" s="22">
        <v>0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8">
        <f>IF(D57=F57+H57+J57,"Correcto","Falso")</f>
      </c>
      <c r="M57" s="28">
        <f>IF(E57=G57+I57+K57,"Correcto","Falso")</f>
      </c>
      <c r="N57" s="29">
        <f>D57-(F57+H57+J57)</f>
      </c>
      <c r="O57" s="29">
        <f>E57-(G57+I57+K57)</f>
      </c>
      <c r="P57" s="30">
        <f>IF(D57&gt;0,F57/D57,0)</f>
      </c>
      <c r="Q57" s="30">
        <f>IF(D57&gt;0,J57/D57,0)</f>
      </c>
    </row>
    <row r="58" spans="1:17" x14ac:dyDescent="0.25">
      <c r="A58" s="20" t="s">
        <v>190</v>
      </c>
      <c r="B58" s="20" t="s">
        <v>40</v>
      </c>
      <c r="C58" s="20" t="s">
        <v>251</v>
      </c>
      <c r="D58" s="22">
        <v>0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8">
        <f>IF(D58=F58+H58+J58,"Correcto","Falso")</f>
      </c>
      <c r="M58" s="28">
        <f>IF(E58=G58+I58+K58,"Correcto","Falso")</f>
      </c>
      <c r="N58" s="29">
        <f>D58-(F58+H58+J58)</f>
      </c>
      <c r="O58" s="29">
        <f>E58-(G58+I58+K58)</f>
      </c>
      <c r="P58" s="30">
        <f>IF(D58&gt;0,F58/D58,0)</f>
      </c>
      <c r="Q58" s="30">
        <f>IF(D58&gt;0,J58/D58,0)</f>
      </c>
    </row>
    <row r="59" spans="1:17" x14ac:dyDescent="0.25">
      <c r="A59" s="20" t="s">
        <v>190</v>
      </c>
      <c r="B59" s="20" t="s">
        <v>40</v>
      </c>
      <c r="C59" s="20" t="s">
        <v>252</v>
      </c>
      <c r="D59" s="22">
        <v>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8">
        <f>IF(D59=F59+H59+J59,"Correcto","Falso")</f>
      </c>
      <c r="M59" s="28">
        <f>IF(E59=G59+I59+K59,"Correcto","Falso")</f>
      </c>
      <c r="N59" s="29">
        <f>D59-(F59+H59+J59)</f>
      </c>
      <c r="O59" s="29">
        <f>E59-(G59+I59+K59)</f>
      </c>
      <c r="P59" s="30">
        <f>IF(D59&gt;0,F59/D59,0)</f>
      </c>
      <c r="Q59" s="30">
        <f>IF(D59&gt;0,J59/D59,0)</f>
      </c>
    </row>
    <row r="60" spans="1:17" x14ac:dyDescent="0.25">
      <c r="A60" s="20" t="s">
        <v>190</v>
      </c>
      <c r="B60" s="20" t="s">
        <v>40</v>
      </c>
      <c r="C60" s="20" t="s">
        <v>253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8">
        <f>IF(D60=F60+H60+J60,"Correcto","Falso")</f>
      </c>
      <c r="M60" s="28">
        <f>IF(E60=G60+I60+K60,"Correcto","Falso")</f>
      </c>
      <c r="N60" s="29">
        <f>D60-(F60+H60+J60)</f>
      </c>
      <c r="O60" s="29">
        <f>E60-(G60+I60+K60)</f>
      </c>
      <c r="P60" s="30">
        <f>IF(D60&gt;0,F60/D60,0)</f>
      </c>
      <c r="Q60" s="30">
        <f>IF(D60&gt;0,J60/D60,0)</f>
      </c>
    </row>
    <row r="61" spans="1:17" x14ac:dyDescent="0.25">
      <c r="A61" s="20" t="s">
        <v>190</v>
      </c>
      <c r="B61" s="20" t="s">
        <v>40</v>
      </c>
      <c r="C61" s="20" t="s">
        <v>254</v>
      </c>
      <c r="D61" s="22">
        <v>0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8">
        <f>IF(D61=F61+H61+J61,"Correcto","Falso")</f>
      </c>
      <c r="M61" s="28">
        <f>IF(E61=G61+I61+K61,"Correcto","Falso")</f>
      </c>
      <c r="N61" s="29">
        <f>D61-(F61+H61+J61)</f>
      </c>
      <c r="O61" s="29">
        <f>E61-(G61+I61+K61)</f>
      </c>
      <c r="P61" s="30">
        <f>IF(D61&gt;0,F61/D61,0)</f>
      </c>
      <c r="Q61" s="30">
        <f>IF(D61&gt;0,J61/D61,0)</f>
      </c>
    </row>
    <row r="62" spans="1:17" x14ac:dyDescent="0.25">
      <c r="A62" s="20" t="s">
        <v>190</v>
      </c>
      <c r="B62" s="20" t="s">
        <v>40</v>
      </c>
      <c r="C62" s="20" t="s">
        <v>255</v>
      </c>
      <c r="D62" s="22">
        <v>0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8">
        <f>IF(D62=F62+H62+J62,"Correcto","Falso")</f>
      </c>
      <c r="M62" s="28">
        <f>IF(E62=G62+I62+K62,"Correcto","Falso")</f>
      </c>
      <c r="N62" s="29">
        <f>D62-(F62+H62+J62)</f>
      </c>
      <c r="O62" s="29">
        <f>E62-(G62+I62+K62)</f>
      </c>
      <c r="P62" s="30">
        <f>IF(D62&gt;0,F62/D62,0)</f>
      </c>
      <c r="Q62" s="30">
        <f>IF(D62&gt;0,J62/D62,0)</f>
      </c>
    </row>
    <row r="63" spans="1:17" x14ac:dyDescent="0.25">
      <c r="A63" s="20" t="s">
        <v>190</v>
      </c>
      <c r="B63" s="20" t="s">
        <v>247</v>
      </c>
      <c r="C63" s="20" t="s">
        <v>248</v>
      </c>
      <c r="D63" s="22">
        <v>0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8">
        <f>IF(D63=F63+H63+J63,"Correcto","Falso")</f>
      </c>
      <c r="M63" s="28">
        <f>IF(E63=G63+I63+K63,"Correcto","Falso")</f>
      </c>
      <c r="N63" s="29">
        <f>D63-(F63+H63+J63)</f>
      </c>
      <c r="O63" s="29">
        <f>E63-(G63+I63+K63)</f>
      </c>
      <c r="P63" s="30">
        <f>IF(D63&gt;0,F63/D63,0)</f>
      </c>
      <c r="Q63" s="30">
        <f>IF(D63&gt;0,J63/D63,0)</f>
      </c>
    </row>
    <row r="64" spans="1:17" x14ac:dyDescent="0.25">
      <c r="A64" s="20" t="s">
        <v>190</v>
      </c>
      <c r="B64" s="20" t="s">
        <v>247</v>
      </c>
      <c r="C64" s="20" t="s">
        <v>249</v>
      </c>
      <c r="D64" s="22">
        <v>0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8">
        <f>IF(D64=F64+H64+J64,"Correcto","Falso")</f>
      </c>
      <c r="M64" s="28">
        <f>IF(E64=G64+I64+K64,"Correcto","Falso")</f>
      </c>
      <c r="N64" s="29">
        <f>D64-(F64+H64+J64)</f>
      </c>
      <c r="O64" s="29">
        <f>E64-(G64+I64+K64)</f>
      </c>
      <c r="P64" s="30">
        <f>IF(D64&gt;0,F64/D64,0)</f>
      </c>
      <c r="Q64" s="30">
        <f>IF(D64&gt;0,J64/D64,0)</f>
      </c>
    </row>
    <row r="65" spans="1:17" x14ac:dyDescent="0.25">
      <c r="A65" s="20" t="s">
        <v>190</v>
      </c>
      <c r="B65" s="20" t="s">
        <v>247</v>
      </c>
      <c r="C65" s="20" t="s">
        <v>250</v>
      </c>
      <c r="D65" s="22">
        <v>0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8">
        <f>IF(D65=F65+H65+J65,"Correcto","Falso")</f>
      </c>
      <c r="M65" s="28">
        <f>IF(E65=G65+I65+K65,"Correcto","Falso")</f>
      </c>
      <c r="N65" s="29">
        <f>D65-(F65+H65+J65)</f>
      </c>
      <c r="O65" s="29">
        <f>E65-(G65+I65+K65)</f>
      </c>
      <c r="P65" s="30">
        <f>IF(D65&gt;0,F65/D65,0)</f>
      </c>
      <c r="Q65" s="30">
        <f>IF(D65&gt;0,J65/D65,0)</f>
      </c>
    </row>
    <row r="66" spans="1:17" x14ac:dyDescent="0.25">
      <c r="A66" s="20" t="s">
        <v>190</v>
      </c>
      <c r="B66" s="20" t="s">
        <v>247</v>
      </c>
      <c r="C66" s="20" t="s">
        <v>251</v>
      </c>
      <c r="D66" s="22">
        <v>0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8">
        <f>IF(D66=F66+H66+J66,"Correcto","Falso")</f>
      </c>
      <c r="M66" s="28">
        <f>IF(E66=G66+I66+K66,"Correcto","Falso")</f>
      </c>
      <c r="N66" s="29">
        <f>D66-(F66+H66+J66)</f>
      </c>
      <c r="O66" s="29">
        <f>E66-(G66+I66+K66)</f>
      </c>
      <c r="P66" s="30">
        <f>IF(D66&gt;0,F66/D66,0)</f>
      </c>
      <c r="Q66" s="30">
        <f>IF(D66&gt;0,J66/D66,0)</f>
      </c>
    </row>
    <row r="67" spans="1:17" x14ac:dyDescent="0.25">
      <c r="A67" s="20" t="s">
        <v>190</v>
      </c>
      <c r="B67" s="20" t="s">
        <v>247</v>
      </c>
      <c r="C67" s="20" t="s">
        <v>252</v>
      </c>
      <c r="D67" s="22">
        <v>0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8">
        <f>IF(D67=F67+H67+J67,"Correcto","Falso")</f>
      </c>
      <c r="M67" s="28">
        <f>IF(E67=G67+I67+K67,"Correcto","Falso")</f>
      </c>
      <c r="N67" s="29">
        <f>D67-(F67+H67+J67)</f>
      </c>
      <c r="O67" s="29">
        <f>E67-(G67+I67+K67)</f>
      </c>
      <c r="P67" s="30">
        <f>IF(D67&gt;0,F67/D67,0)</f>
      </c>
      <c r="Q67" s="30">
        <f>IF(D67&gt;0,J67/D67,0)</f>
      </c>
    </row>
    <row r="68" spans="1:17" x14ac:dyDescent="0.25">
      <c r="A68" s="20" t="s">
        <v>190</v>
      </c>
      <c r="B68" s="20" t="s">
        <v>247</v>
      </c>
      <c r="C68" s="20" t="s">
        <v>253</v>
      </c>
      <c r="D68" s="22">
        <v>0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8">
        <f>IF(D68=F68+H68+J68,"Correcto","Falso")</f>
      </c>
      <c r="M68" s="28">
        <f>IF(E68=G68+I68+K68,"Correcto","Falso")</f>
      </c>
      <c r="N68" s="29">
        <f>D68-(F68+H68+J68)</f>
      </c>
      <c r="O68" s="29">
        <f>E68-(G68+I68+K68)</f>
      </c>
      <c r="P68" s="30">
        <f>IF(D68&gt;0,F68/D68,0)</f>
      </c>
      <c r="Q68" s="30">
        <f>IF(D68&gt;0,J68/D68,0)</f>
      </c>
    </row>
    <row r="69" spans="1:17" x14ac:dyDescent="0.25">
      <c r="A69" s="20" t="s">
        <v>190</v>
      </c>
      <c r="B69" s="20" t="s">
        <v>247</v>
      </c>
      <c r="C69" s="20" t="s">
        <v>254</v>
      </c>
      <c r="D69" s="22">
        <v>0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8">
        <f>IF(D69=F69+H69+J69,"Correcto","Falso")</f>
      </c>
      <c r="M69" s="28">
        <f>IF(E69=G69+I69+K69,"Correcto","Falso")</f>
      </c>
      <c r="N69" s="29">
        <f>D69-(F69+H69+J69)</f>
      </c>
      <c r="O69" s="29">
        <f>E69-(G69+I69+K69)</f>
      </c>
      <c r="P69" s="30">
        <f>IF(D69&gt;0,F69/D69,0)</f>
      </c>
      <c r="Q69" s="30">
        <f>IF(D69&gt;0,J69/D69,0)</f>
      </c>
    </row>
    <row r="70" spans="1:17" x14ac:dyDescent="0.25">
      <c r="A70" s="20" t="s">
        <v>190</v>
      </c>
      <c r="B70" s="20" t="s">
        <v>247</v>
      </c>
      <c r="C70" s="20" t="s">
        <v>255</v>
      </c>
      <c r="D70" s="22">
        <v>0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8">
        <f>IF(D70=F70+H70+J70,"Correcto","Falso")</f>
      </c>
      <c r="M70" s="28">
        <f>IF(E70=G70+I70+K70,"Correcto","Falso")</f>
      </c>
      <c r="N70" s="29">
        <f>D70-(F70+H70+J70)</f>
      </c>
      <c r="O70" s="29">
        <f>E70-(G70+I70+K70)</f>
      </c>
      <c r="P70" s="30">
        <f>IF(D70&gt;0,F70/D70,0)</f>
      </c>
      <c r="Q70" s="30">
        <f>IF(D70&gt;0,J70/D70,0)</f>
      </c>
    </row>
    <row r="71" spans="1:17" x14ac:dyDescent="0.25">
      <c r="A71" s="20" t="s">
        <v>190</v>
      </c>
      <c r="B71" s="20" t="s">
        <v>38</v>
      </c>
      <c r="C71" s="20" t="s">
        <v>256</v>
      </c>
      <c r="D71" s="22">
        <v>0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8">
        <f>IF(D71=F71+H71+J71,"Correcto","Falso")</f>
      </c>
      <c r="M71" s="28">
        <f>IF(E71=G71+I71+K71,"Correcto","Falso")</f>
      </c>
      <c r="N71" s="29">
        <f>D71-(F71+H71+J71)</f>
      </c>
      <c r="O71" s="29">
        <f>E71-(G71+I71+K71)</f>
      </c>
      <c r="P71" s="30">
        <f>IF(D71&gt;0,F71/D71,0)</f>
      </c>
      <c r="Q71" s="30">
        <f>IF(D71&gt;0,J71/D71,0)</f>
      </c>
    </row>
    <row r="72" spans="1:17" x14ac:dyDescent="0.25">
      <c r="A72" s="20" t="s">
        <v>190</v>
      </c>
      <c r="B72" s="20" t="s">
        <v>38</v>
      </c>
      <c r="C72" s="20" t="s">
        <v>257</v>
      </c>
      <c r="D72" s="22">
        <v>0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8">
        <f>IF(D72=F72+H72+J72,"Correcto","Falso")</f>
      </c>
      <c r="M72" s="28">
        <f>IF(E72=G72+I72+K72,"Correcto","Falso")</f>
      </c>
      <c r="N72" s="29">
        <f>D72-(F72+H72+J72)</f>
      </c>
      <c r="O72" s="29">
        <f>E72-(G72+I72+K72)</f>
      </c>
      <c r="P72" s="30">
        <f>IF(D72&gt;0,F72/D72,0)</f>
      </c>
      <c r="Q72" s="30">
        <f>IF(D72&gt;0,J72/D72,0)</f>
      </c>
    </row>
    <row r="73" spans="1:17" x14ac:dyDescent="0.25">
      <c r="A73" s="20" t="s">
        <v>190</v>
      </c>
      <c r="B73" s="20" t="s">
        <v>38</v>
      </c>
      <c r="C73" s="20" t="s">
        <v>258</v>
      </c>
      <c r="D73" s="22">
        <v>0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8">
        <f>IF(D73=F73+H73+J73,"Correcto","Falso")</f>
      </c>
      <c r="M73" s="28">
        <f>IF(E73=G73+I73+K73,"Correcto","Falso")</f>
      </c>
      <c r="N73" s="29">
        <f>D73-(F73+H73+J73)</f>
      </c>
      <c r="O73" s="29">
        <f>E73-(G73+I73+K73)</f>
      </c>
      <c r="P73" s="30">
        <f>IF(D73&gt;0,F73/D73,0)</f>
      </c>
      <c r="Q73" s="30">
        <f>IF(D73&gt;0,J73/D73,0)</f>
      </c>
    </row>
    <row r="74" spans="1:17" x14ac:dyDescent="0.25">
      <c r="A74" s="20" t="s">
        <v>190</v>
      </c>
      <c r="B74" s="20" t="s">
        <v>38</v>
      </c>
      <c r="C74" s="20" t="s">
        <v>259</v>
      </c>
      <c r="D74" s="22">
        <v>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8">
        <f>IF(D74=F74+H74+J74,"Correcto","Falso")</f>
      </c>
      <c r="M74" s="28">
        <f>IF(E74=G74+I74+K74,"Correcto","Falso")</f>
      </c>
      <c r="N74" s="29">
        <f>D74-(F74+H74+J74)</f>
      </c>
      <c r="O74" s="29">
        <f>E74-(G74+I74+K74)</f>
      </c>
      <c r="P74" s="30">
        <f>IF(D74&gt;0,F74/D74,0)</f>
      </c>
      <c r="Q74" s="30">
        <f>IF(D74&gt;0,J74/D74,0)</f>
      </c>
    </row>
    <row r="75" spans="1:17" x14ac:dyDescent="0.25">
      <c r="A75" s="20" t="s">
        <v>190</v>
      </c>
      <c r="B75" s="20" t="s">
        <v>38</v>
      </c>
      <c r="C75" s="20" t="s">
        <v>260</v>
      </c>
      <c r="D75" s="22">
        <v>0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8">
        <f>IF(D75=F75+H75+J75,"Correcto","Falso")</f>
      </c>
      <c r="M75" s="28">
        <f>IF(E75=G75+I75+K75,"Correcto","Falso")</f>
      </c>
      <c r="N75" s="29">
        <f>D75-(F75+H75+J75)</f>
      </c>
      <c r="O75" s="29">
        <f>E75-(G75+I75+K75)</f>
      </c>
      <c r="P75" s="30">
        <f>IF(D75&gt;0,F75/D75,0)</f>
      </c>
      <c r="Q75" s="30">
        <f>IF(D75&gt;0,J75/D75,0)</f>
      </c>
    </row>
    <row r="76" spans="1:17" x14ac:dyDescent="0.25">
      <c r="A76" s="20" t="s">
        <v>190</v>
      </c>
      <c r="B76" s="20" t="s">
        <v>38</v>
      </c>
      <c r="C76" s="20" t="s">
        <v>261</v>
      </c>
      <c r="D76" s="22">
        <v>0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8">
        <f>IF(D76=F76+H76+J76,"Correcto","Falso")</f>
      </c>
      <c r="M76" s="28">
        <f>IF(E76=G76+I76+K76,"Correcto","Falso")</f>
      </c>
      <c r="N76" s="29">
        <f>D76-(F76+H76+J76)</f>
      </c>
      <c r="O76" s="29">
        <f>E76-(G76+I76+K76)</f>
      </c>
      <c r="P76" s="30">
        <f>IF(D76&gt;0,F76/D76,0)</f>
      </c>
      <c r="Q76" s="30">
        <f>IF(D76&gt;0,J76/D76,0)</f>
      </c>
    </row>
    <row r="77" spans="1:17" x14ac:dyDescent="0.25">
      <c r="A77" s="20" t="s">
        <v>190</v>
      </c>
      <c r="B77" s="20" t="s">
        <v>38</v>
      </c>
      <c r="C77" s="20" t="s">
        <v>262</v>
      </c>
      <c r="D77" s="22">
        <v>0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8">
        <f>IF(D77=F77+H77+J77,"Correcto","Falso")</f>
      </c>
      <c r="M77" s="28">
        <f>IF(E77=G77+I77+K77,"Correcto","Falso")</f>
      </c>
      <c r="N77" s="29">
        <f>D77-(F77+H77+J77)</f>
      </c>
      <c r="O77" s="29">
        <f>E77-(G77+I77+K77)</f>
      </c>
      <c r="P77" s="30">
        <f>IF(D77&gt;0,F77/D77,0)</f>
      </c>
      <c r="Q77" s="30">
        <f>IF(D77&gt;0,J77/D77,0)</f>
      </c>
    </row>
    <row r="78" spans="1:17" x14ac:dyDescent="0.25">
      <c r="A78" s="20" t="s">
        <v>190</v>
      </c>
      <c r="B78" s="20" t="s">
        <v>38</v>
      </c>
      <c r="C78" s="20" t="s">
        <v>263</v>
      </c>
      <c r="D78" s="22">
        <v>0</v>
      </c>
      <c r="E78" s="22">
        <v>0</v>
      </c>
      <c r="F78" s="22">
        <v>0</v>
      </c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8">
        <f>IF(D78=F78+H78+J78,"Correcto","Falso")</f>
      </c>
      <c r="M78" s="28">
        <f>IF(E78=G78+I78+K78,"Correcto","Falso")</f>
      </c>
      <c r="N78" s="29">
        <f>D78-(F78+H78+J78)</f>
      </c>
      <c r="O78" s="29">
        <f>E78-(G78+I78+K78)</f>
      </c>
      <c r="P78" s="30">
        <f>IF(D78&gt;0,F78/D78,0)</f>
      </c>
      <c r="Q78" s="30">
        <f>IF(D78&gt;0,J78/D78,0)</f>
      </c>
    </row>
    <row r="79" spans="1:17" x14ac:dyDescent="0.25">
      <c r="A79" s="20" t="s">
        <v>190</v>
      </c>
      <c r="B79" s="20" t="s">
        <v>39</v>
      </c>
      <c r="C79" s="20" t="s">
        <v>256</v>
      </c>
      <c r="D79" s="22">
        <v>0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8">
        <f>IF(D79=F79+H79+J79,"Correcto","Falso")</f>
      </c>
      <c r="M79" s="28">
        <f>IF(E79=G79+I79+K79,"Correcto","Falso")</f>
      </c>
      <c r="N79" s="29">
        <f>D79-(F79+H79+J79)</f>
      </c>
      <c r="O79" s="29">
        <f>E79-(G79+I79+K79)</f>
      </c>
      <c r="P79" s="30">
        <f>IF(D79&gt;0,F79/D79,0)</f>
      </c>
      <c r="Q79" s="30">
        <f>IF(D79&gt;0,J79/D79,0)</f>
      </c>
    </row>
    <row r="80" spans="1:17" x14ac:dyDescent="0.25">
      <c r="A80" s="20" t="s">
        <v>190</v>
      </c>
      <c r="B80" s="20" t="s">
        <v>39</v>
      </c>
      <c r="C80" s="20" t="s">
        <v>257</v>
      </c>
      <c r="D80" s="22">
        <v>0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8">
        <f>IF(D80=F80+H80+J80,"Correcto","Falso")</f>
      </c>
      <c r="M80" s="28">
        <f>IF(E80=G80+I80+K80,"Correcto","Falso")</f>
      </c>
      <c r="N80" s="29">
        <f>D80-(F80+H80+J80)</f>
      </c>
      <c r="O80" s="29">
        <f>E80-(G80+I80+K80)</f>
      </c>
      <c r="P80" s="30">
        <f>IF(D80&gt;0,F80/D80,0)</f>
      </c>
      <c r="Q80" s="30">
        <f>IF(D80&gt;0,J80/D80,0)</f>
      </c>
    </row>
    <row r="81" spans="1:17" x14ac:dyDescent="0.25">
      <c r="A81" s="20" t="s">
        <v>190</v>
      </c>
      <c r="B81" s="20" t="s">
        <v>39</v>
      </c>
      <c r="C81" s="20" t="s">
        <v>258</v>
      </c>
      <c r="D81" s="22">
        <v>0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8">
        <f>IF(D81=F81+H81+J81,"Correcto","Falso")</f>
      </c>
      <c r="M81" s="28">
        <f>IF(E81=G81+I81+K81,"Correcto","Falso")</f>
      </c>
      <c r="N81" s="29">
        <f>D81-(F81+H81+J81)</f>
      </c>
      <c r="O81" s="29">
        <f>E81-(G81+I81+K81)</f>
      </c>
      <c r="P81" s="30">
        <f>IF(D81&gt;0,F81/D81,0)</f>
      </c>
      <c r="Q81" s="30">
        <f>IF(D81&gt;0,J81/D81,0)</f>
      </c>
    </row>
    <row r="82" spans="1:17" x14ac:dyDescent="0.25">
      <c r="A82" s="20" t="s">
        <v>190</v>
      </c>
      <c r="B82" s="20" t="s">
        <v>39</v>
      </c>
      <c r="C82" s="20" t="s">
        <v>259</v>
      </c>
      <c r="D82" s="22">
        <v>0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8">
        <f>IF(D82=F82+H82+J82,"Correcto","Falso")</f>
      </c>
      <c r="M82" s="28">
        <f>IF(E82=G82+I82+K82,"Correcto","Falso")</f>
      </c>
      <c r="N82" s="29">
        <f>D82-(F82+H82+J82)</f>
      </c>
      <c r="O82" s="29">
        <f>E82-(G82+I82+K82)</f>
      </c>
      <c r="P82" s="30">
        <f>IF(D82&gt;0,F82/D82,0)</f>
      </c>
      <c r="Q82" s="30">
        <f>IF(D82&gt;0,J82/D82,0)</f>
      </c>
    </row>
    <row r="83" spans="1:17" x14ac:dyDescent="0.25">
      <c r="A83" s="20" t="s">
        <v>190</v>
      </c>
      <c r="B83" s="20" t="s">
        <v>39</v>
      </c>
      <c r="C83" s="20" t="s">
        <v>260</v>
      </c>
      <c r="D83" s="22">
        <v>0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8">
        <f>IF(D83=F83+H83+J83,"Correcto","Falso")</f>
      </c>
      <c r="M83" s="28">
        <f>IF(E83=G83+I83+K83,"Correcto","Falso")</f>
      </c>
      <c r="N83" s="29">
        <f>D83-(F83+H83+J83)</f>
      </c>
      <c r="O83" s="29">
        <f>E83-(G83+I83+K83)</f>
      </c>
      <c r="P83" s="30">
        <f>IF(D83&gt;0,F83/D83,0)</f>
      </c>
      <c r="Q83" s="30">
        <f>IF(D83&gt;0,J83/D83,0)</f>
      </c>
    </row>
    <row r="84" spans="1:17" x14ac:dyDescent="0.25">
      <c r="A84" s="20" t="s">
        <v>190</v>
      </c>
      <c r="B84" s="20" t="s">
        <v>39</v>
      </c>
      <c r="C84" s="20" t="s">
        <v>261</v>
      </c>
      <c r="D84" s="22">
        <v>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8">
        <f>IF(D84=F84+H84+J84,"Correcto","Falso")</f>
      </c>
      <c r="M84" s="28">
        <f>IF(E84=G84+I84+K84,"Correcto","Falso")</f>
      </c>
      <c r="N84" s="29">
        <f>D84-(F84+H84+J84)</f>
      </c>
      <c r="O84" s="29">
        <f>E84-(G84+I84+K84)</f>
      </c>
      <c r="P84" s="30">
        <f>IF(D84&gt;0,F84/D84,0)</f>
      </c>
      <c r="Q84" s="30">
        <f>IF(D84&gt;0,J84/D84,0)</f>
      </c>
    </row>
    <row r="85" spans="1:17" x14ac:dyDescent="0.25">
      <c r="A85" s="20" t="s">
        <v>190</v>
      </c>
      <c r="B85" s="20" t="s">
        <v>39</v>
      </c>
      <c r="C85" s="20" t="s">
        <v>262</v>
      </c>
      <c r="D85" s="22">
        <v>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8">
        <f>IF(D85=F85+H85+J85,"Correcto","Falso")</f>
      </c>
      <c r="M85" s="28">
        <f>IF(E85=G85+I85+K85,"Correcto","Falso")</f>
      </c>
      <c r="N85" s="29">
        <f>D85-(F85+H85+J85)</f>
      </c>
      <c r="O85" s="29">
        <f>E85-(G85+I85+K85)</f>
      </c>
      <c r="P85" s="30">
        <f>IF(D85&gt;0,F85/D85,0)</f>
      </c>
      <c r="Q85" s="30">
        <f>IF(D85&gt;0,J85/D85,0)</f>
      </c>
    </row>
    <row r="86" spans="1:17" x14ac:dyDescent="0.25">
      <c r="A86" s="20" t="s">
        <v>190</v>
      </c>
      <c r="B86" s="20" t="s">
        <v>39</v>
      </c>
      <c r="C86" s="20" t="s">
        <v>263</v>
      </c>
      <c r="D86" s="22">
        <v>0</v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8">
        <f>IF(D86=F86+H86+J86,"Correcto","Falso")</f>
      </c>
      <c r="M86" s="28">
        <f>IF(E86=G86+I86+K86,"Correcto","Falso")</f>
      </c>
      <c r="N86" s="29">
        <f>D86-(F86+H86+J86)</f>
      </c>
      <c r="O86" s="29">
        <f>E86-(G86+I86+K86)</f>
      </c>
      <c r="P86" s="30">
        <f>IF(D86&gt;0,F86/D86,0)</f>
      </c>
      <c r="Q86" s="30">
        <f>IF(D86&gt;0,J86/D86,0)</f>
      </c>
    </row>
    <row r="87" spans="1:17" x14ac:dyDescent="0.25">
      <c r="A87" s="20" t="s">
        <v>190</v>
      </c>
      <c r="B87" s="20" t="s">
        <v>40</v>
      </c>
      <c r="C87" s="20" t="s">
        <v>256</v>
      </c>
      <c r="D87" s="22">
        <v>0</v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8">
        <f>IF(D87=F87+H87+J87,"Correcto","Falso")</f>
      </c>
      <c r="M87" s="28">
        <f>IF(E87=G87+I87+K87,"Correcto","Falso")</f>
      </c>
      <c r="N87" s="29">
        <f>D87-(F87+H87+J87)</f>
      </c>
      <c r="O87" s="29">
        <f>E87-(G87+I87+K87)</f>
      </c>
      <c r="P87" s="30">
        <f>IF(D87&gt;0,F87/D87,0)</f>
      </c>
      <c r="Q87" s="30">
        <f>IF(D87&gt;0,J87/D87,0)</f>
      </c>
    </row>
    <row r="88" spans="1:17" x14ac:dyDescent="0.25">
      <c r="A88" s="20" t="s">
        <v>190</v>
      </c>
      <c r="B88" s="20" t="s">
        <v>40</v>
      </c>
      <c r="C88" s="20" t="s">
        <v>257</v>
      </c>
      <c r="D88" s="22">
        <v>0</v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8">
        <f>IF(D88=F88+H88+J88,"Correcto","Falso")</f>
      </c>
      <c r="M88" s="28">
        <f>IF(E88=G88+I88+K88,"Correcto","Falso")</f>
      </c>
      <c r="N88" s="29">
        <f>D88-(F88+H88+J88)</f>
      </c>
      <c r="O88" s="29">
        <f>E88-(G88+I88+K88)</f>
      </c>
      <c r="P88" s="30">
        <f>IF(D88&gt;0,F88/D88,0)</f>
      </c>
      <c r="Q88" s="30">
        <f>IF(D88&gt;0,J88/D88,0)</f>
      </c>
    </row>
    <row r="89" spans="1:17" x14ac:dyDescent="0.25">
      <c r="A89" s="20" t="s">
        <v>190</v>
      </c>
      <c r="B89" s="20" t="s">
        <v>40</v>
      </c>
      <c r="C89" s="20" t="s">
        <v>258</v>
      </c>
      <c r="D89" s="22">
        <v>0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8">
        <f>IF(D89=F89+H89+J89,"Correcto","Falso")</f>
      </c>
      <c r="M89" s="28">
        <f>IF(E89=G89+I89+K89,"Correcto","Falso")</f>
      </c>
      <c r="N89" s="29">
        <f>D89-(F89+H89+J89)</f>
      </c>
      <c r="O89" s="29">
        <f>E89-(G89+I89+K89)</f>
      </c>
      <c r="P89" s="30">
        <f>IF(D89&gt;0,F89/D89,0)</f>
      </c>
      <c r="Q89" s="30">
        <f>IF(D89&gt;0,J89/D89,0)</f>
      </c>
    </row>
    <row r="90" spans="1:17" x14ac:dyDescent="0.25">
      <c r="A90" s="20" t="s">
        <v>190</v>
      </c>
      <c r="B90" s="20" t="s">
        <v>40</v>
      </c>
      <c r="C90" s="20" t="s">
        <v>259</v>
      </c>
      <c r="D90" s="22">
        <v>0</v>
      </c>
      <c r="E90" s="22">
        <v>0</v>
      </c>
      <c r="F90" s="22">
        <v>0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8">
        <f>IF(D90=F90+H90+J90,"Correcto","Falso")</f>
      </c>
      <c r="M90" s="28">
        <f>IF(E90=G90+I90+K90,"Correcto","Falso")</f>
      </c>
      <c r="N90" s="29">
        <f>D90-(F90+H90+J90)</f>
      </c>
      <c r="O90" s="29">
        <f>E90-(G90+I90+K90)</f>
      </c>
      <c r="P90" s="30">
        <f>IF(D90&gt;0,F90/D90,0)</f>
      </c>
      <c r="Q90" s="30">
        <f>IF(D90&gt;0,J90/D90,0)</f>
      </c>
    </row>
    <row r="91" spans="1:17" x14ac:dyDescent="0.25">
      <c r="A91" s="20" t="s">
        <v>190</v>
      </c>
      <c r="B91" s="20" t="s">
        <v>40</v>
      </c>
      <c r="C91" s="20" t="s">
        <v>260</v>
      </c>
      <c r="D91" s="22">
        <v>0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8">
        <f>IF(D91=F91+H91+J91,"Correcto","Falso")</f>
      </c>
      <c r="M91" s="28">
        <f>IF(E91=G91+I91+K91,"Correcto","Falso")</f>
      </c>
      <c r="N91" s="29">
        <f>D91-(F91+H91+J91)</f>
      </c>
      <c r="O91" s="29">
        <f>E91-(G91+I91+K91)</f>
      </c>
      <c r="P91" s="30">
        <f>IF(D91&gt;0,F91/D91,0)</f>
      </c>
      <c r="Q91" s="30">
        <f>IF(D91&gt;0,J91/D91,0)</f>
      </c>
    </row>
    <row r="92" spans="1:17" x14ac:dyDescent="0.25">
      <c r="A92" s="20" t="s">
        <v>190</v>
      </c>
      <c r="B92" s="20" t="s">
        <v>40</v>
      </c>
      <c r="C92" s="20" t="s">
        <v>261</v>
      </c>
      <c r="D92" s="22">
        <v>0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8">
        <f>IF(D92=F92+H92+J92,"Correcto","Falso")</f>
      </c>
      <c r="M92" s="28">
        <f>IF(E92=G92+I92+K92,"Correcto","Falso")</f>
      </c>
      <c r="N92" s="29">
        <f>D92-(F92+H92+J92)</f>
      </c>
      <c r="O92" s="29">
        <f>E92-(G92+I92+K92)</f>
      </c>
      <c r="P92" s="30">
        <f>IF(D92&gt;0,F92/D92,0)</f>
      </c>
      <c r="Q92" s="30">
        <f>IF(D92&gt;0,J92/D92,0)</f>
      </c>
    </row>
    <row r="93" spans="1:17" x14ac:dyDescent="0.25">
      <c r="A93" s="20" t="s">
        <v>190</v>
      </c>
      <c r="B93" s="20" t="s">
        <v>40</v>
      </c>
      <c r="C93" s="20" t="s">
        <v>262</v>
      </c>
      <c r="D93" s="22">
        <v>0</v>
      </c>
      <c r="E93" s="22">
        <v>0</v>
      </c>
      <c r="F93" s="22">
        <v>0</v>
      </c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8">
        <f>IF(D93=F93+H93+J93,"Correcto","Falso")</f>
      </c>
      <c r="M93" s="28">
        <f>IF(E93=G93+I93+K93,"Correcto","Falso")</f>
      </c>
      <c r="N93" s="29">
        <f>D93-(F93+H93+J93)</f>
      </c>
      <c r="O93" s="29">
        <f>E93-(G93+I93+K93)</f>
      </c>
      <c r="P93" s="30">
        <f>IF(D93&gt;0,F93/D93,0)</f>
      </c>
      <c r="Q93" s="30">
        <f>IF(D93&gt;0,J93/D93,0)</f>
      </c>
    </row>
    <row r="94" spans="1:17" x14ac:dyDescent="0.25">
      <c r="A94" s="20" t="s">
        <v>190</v>
      </c>
      <c r="B94" s="20" t="s">
        <v>40</v>
      </c>
      <c r="C94" s="20" t="s">
        <v>263</v>
      </c>
      <c r="D94" s="22">
        <v>0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8">
        <f>IF(D94=F94+H94+J94,"Correcto","Falso")</f>
      </c>
      <c r="M94" s="28">
        <f>IF(E94=G94+I94+K94,"Correcto","Falso")</f>
      </c>
      <c r="N94" s="29">
        <f>D94-(F94+H94+J94)</f>
      </c>
      <c r="O94" s="29">
        <f>E94-(G94+I94+K94)</f>
      </c>
      <c r="P94" s="30">
        <f>IF(D94&gt;0,F94/D94,0)</f>
      </c>
      <c r="Q94" s="30">
        <f>IF(D94&gt;0,J94/D94,0)</f>
      </c>
    </row>
    <row r="95" spans="1:17" x14ac:dyDescent="0.25">
      <c r="A95" s="20" t="s">
        <v>190</v>
      </c>
      <c r="B95" s="20" t="s">
        <v>247</v>
      </c>
      <c r="C95" s="20" t="s">
        <v>256</v>
      </c>
      <c r="D95" s="22">
        <v>0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8">
        <f>IF(D95=F95+H95+J95,"Correcto","Falso")</f>
      </c>
      <c r="M95" s="28">
        <f>IF(E95=G95+I95+K95,"Correcto","Falso")</f>
      </c>
      <c r="N95" s="29">
        <f>D95-(F95+H95+J95)</f>
      </c>
      <c r="O95" s="29">
        <f>E95-(G95+I95+K95)</f>
      </c>
      <c r="P95" s="30">
        <f>IF(D95&gt;0,F95/D95,0)</f>
      </c>
      <c r="Q95" s="30">
        <f>IF(D95&gt;0,J95/D95,0)</f>
      </c>
    </row>
    <row r="96" spans="1:17" x14ac:dyDescent="0.25">
      <c r="A96" s="20" t="s">
        <v>190</v>
      </c>
      <c r="B96" s="20" t="s">
        <v>247</v>
      </c>
      <c r="C96" s="20" t="s">
        <v>257</v>
      </c>
      <c r="D96" s="22">
        <v>0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8">
        <f>IF(D96=F96+H96+J96,"Correcto","Falso")</f>
      </c>
      <c r="M96" s="28">
        <f>IF(E96=G96+I96+K96,"Correcto","Falso")</f>
      </c>
      <c r="N96" s="29">
        <f>D96-(F96+H96+J96)</f>
      </c>
      <c r="O96" s="29">
        <f>E96-(G96+I96+K96)</f>
      </c>
      <c r="P96" s="30">
        <f>IF(D96&gt;0,F96/D96,0)</f>
      </c>
      <c r="Q96" s="30">
        <f>IF(D96&gt;0,J96/D96,0)</f>
      </c>
    </row>
    <row r="97" spans="1:17" x14ac:dyDescent="0.25">
      <c r="A97" s="20" t="s">
        <v>190</v>
      </c>
      <c r="B97" s="20" t="s">
        <v>247</v>
      </c>
      <c r="C97" s="20" t="s">
        <v>258</v>
      </c>
      <c r="D97" s="22">
        <v>0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8">
        <f>IF(D97=F97+H97+J97,"Correcto","Falso")</f>
      </c>
      <c r="M97" s="28">
        <f>IF(E97=G97+I97+K97,"Correcto","Falso")</f>
      </c>
      <c r="N97" s="29">
        <f>D97-(F97+H97+J97)</f>
      </c>
      <c r="O97" s="29">
        <f>E97-(G97+I97+K97)</f>
      </c>
      <c r="P97" s="30">
        <f>IF(D97&gt;0,F97/D97,0)</f>
      </c>
      <c r="Q97" s="30">
        <f>IF(D97&gt;0,J97/D97,0)</f>
      </c>
    </row>
    <row r="98" spans="1:17" x14ac:dyDescent="0.25">
      <c r="A98" s="20" t="s">
        <v>190</v>
      </c>
      <c r="B98" s="20" t="s">
        <v>247</v>
      </c>
      <c r="C98" s="20" t="s">
        <v>259</v>
      </c>
      <c r="D98" s="22">
        <v>0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8">
        <f>IF(D98=F98+H98+J98,"Correcto","Falso")</f>
      </c>
      <c r="M98" s="28">
        <f>IF(E98=G98+I98+K98,"Correcto","Falso")</f>
      </c>
      <c r="N98" s="29">
        <f>D98-(F98+H98+J98)</f>
      </c>
      <c r="O98" s="29">
        <f>E98-(G98+I98+K98)</f>
      </c>
      <c r="P98" s="30">
        <f>IF(D98&gt;0,F98/D98,0)</f>
      </c>
      <c r="Q98" s="30">
        <f>IF(D98&gt;0,J98/D98,0)</f>
      </c>
    </row>
    <row r="99" spans="1:17" x14ac:dyDescent="0.25">
      <c r="A99" s="20" t="s">
        <v>190</v>
      </c>
      <c r="B99" s="20" t="s">
        <v>247</v>
      </c>
      <c r="C99" s="20" t="s">
        <v>260</v>
      </c>
      <c r="D99" s="22">
        <v>0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8">
        <f>IF(D99=F99+H99+J99,"Correcto","Falso")</f>
      </c>
      <c r="M99" s="28">
        <f>IF(E99=G99+I99+K99,"Correcto","Falso")</f>
      </c>
      <c r="N99" s="29">
        <f>D99-(F99+H99+J99)</f>
      </c>
      <c r="O99" s="29">
        <f>E99-(G99+I99+K99)</f>
      </c>
      <c r="P99" s="30">
        <f>IF(D99&gt;0,F99/D99,0)</f>
      </c>
      <c r="Q99" s="30">
        <f>IF(D99&gt;0,J99/D99,0)</f>
      </c>
    </row>
    <row r="100" spans="1:17" x14ac:dyDescent="0.25">
      <c r="A100" s="20" t="s">
        <v>190</v>
      </c>
      <c r="B100" s="20" t="s">
        <v>247</v>
      </c>
      <c r="C100" s="20" t="s">
        <v>261</v>
      </c>
      <c r="D100" s="22">
        <v>0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8">
        <f>IF(D100=F100+H100+J100,"Correcto","Falso")</f>
      </c>
      <c r="M100" s="28">
        <f>IF(E100=G100+I100+K100,"Correcto","Falso")</f>
      </c>
      <c r="N100" s="29">
        <f>D100-(F100+H100+J100)</f>
      </c>
      <c r="O100" s="29">
        <f>E100-(G100+I100+K100)</f>
      </c>
      <c r="P100" s="30">
        <f>IF(D100&gt;0,F100/D100,0)</f>
      </c>
      <c r="Q100" s="30">
        <f>IF(D100&gt;0,J100/D100,0)</f>
      </c>
    </row>
    <row r="101" spans="1:17" x14ac:dyDescent="0.25">
      <c r="A101" s="20" t="s">
        <v>190</v>
      </c>
      <c r="B101" s="20" t="s">
        <v>247</v>
      </c>
      <c r="C101" s="20" t="s">
        <v>262</v>
      </c>
      <c r="D101" s="22">
        <v>0</v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8">
        <f>IF(D101=F101+H101+J101,"Correcto","Falso")</f>
      </c>
      <c r="M101" s="28">
        <f>IF(E101=G101+I101+K101,"Correcto","Falso")</f>
      </c>
      <c r="N101" s="29">
        <f>D101-(F101+H101+J101)</f>
      </c>
      <c r="O101" s="29">
        <f>E101-(G101+I101+K101)</f>
      </c>
      <c r="P101" s="30">
        <f>IF(D101&gt;0,F101/D101,0)</f>
      </c>
      <c r="Q101" s="30">
        <f>IF(D101&gt;0,J101/D101,0)</f>
      </c>
    </row>
    <row r="102" spans="1:17" x14ac:dyDescent="0.25">
      <c r="A102" s="20" t="s">
        <v>190</v>
      </c>
      <c r="B102" s="20" t="s">
        <v>247</v>
      </c>
      <c r="C102" s="20" t="s">
        <v>263</v>
      </c>
      <c r="D102" s="22">
        <v>0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8">
        <f>IF(D102=F102+H102+J102,"Correcto","Falso")</f>
      </c>
      <c r="M102" s="28">
        <f>IF(E102=G102+I102+K102,"Correcto","Falso")</f>
      </c>
      <c r="N102" s="29">
        <f>D102-(F102+H102+J102)</f>
      </c>
      <c r="O102" s="29">
        <f>E102-(G102+I102+K102)</f>
      </c>
      <c r="P102" s="30">
        <f>IF(D102&gt;0,F102/D102,0)</f>
      </c>
      <c r="Q102" s="30">
        <f>IF(D102&gt;0,J102/D102,0)</f>
      </c>
    </row>
    <row r="103" spans="1:17" x14ac:dyDescent="0.25">
      <c r="A103" s="20" t="s">
        <v>190</v>
      </c>
      <c r="B103" s="20" t="s">
        <v>38</v>
      </c>
      <c r="C103" s="20" t="s">
        <v>264</v>
      </c>
      <c r="D103" s="22">
        <v>0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8">
        <f>IF(D103=F103+H103+J103,"Correcto","Falso")</f>
      </c>
      <c r="M103" s="28">
        <f>IF(E103=G103+I103+K103,"Correcto","Falso")</f>
      </c>
      <c r="N103" s="29">
        <f>D103-(F103+H103+J103)</f>
      </c>
      <c r="O103" s="29">
        <f>E103-(G103+I103+K103)</f>
      </c>
      <c r="P103" s="30">
        <f>IF(D103&gt;0,F103/D103,0)</f>
      </c>
      <c r="Q103" s="30">
        <f>IF(D103&gt;0,J103/D103,0)</f>
      </c>
    </row>
    <row r="104" spans="1:17" x14ac:dyDescent="0.25">
      <c r="A104" s="20" t="s">
        <v>190</v>
      </c>
      <c r="B104" s="20" t="s">
        <v>38</v>
      </c>
      <c r="C104" s="20" t="s">
        <v>265</v>
      </c>
      <c r="D104" s="22">
        <v>0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  <c r="J104" s="22">
        <v>0</v>
      </c>
      <c r="K104" s="22">
        <v>0</v>
      </c>
      <c r="L104" s="28">
        <f>IF(D104=F104+H104+J104,"Correcto","Falso")</f>
      </c>
      <c r="M104" s="28">
        <f>IF(E104=G104+I104+K104,"Correcto","Falso")</f>
      </c>
      <c r="N104" s="29">
        <f>D104-(F104+H104+J104)</f>
      </c>
      <c r="O104" s="29">
        <f>E104-(G104+I104+K104)</f>
      </c>
      <c r="P104" s="30">
        <f>IF(D104&gt;0,F104/D104,0)</f>
      </c>
      <c r="Q104" s="30">
        <f>IF(D104&gt;0,J104/D104,0)</f>
      </c>
    </row>
    <row r="105" spans="1:17" x14ac:dyDescent="0.25">
      <c r="A105" s="20" t="s">
        <v>190</v>
      </c>
      <c r="B105" s="20" t="s">
        <v>38</v>
      </c>
      <c r="C105" s="20" t="s">
        <v>266</v>
      </c>
      <c r="D105" s="22">
        <v>0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  <c r="J105" s="22">
        <v>0</v>
      </c>
      <c r="K105" s="22">
        <v>0</v>
      </c>
      <c r="L105" s="28">
        <f>IF(D105=F105+H105+J105,"Correcto","Falso")</f>
      </c>
      <c r="M105" s="28">
        <f>IF(E105=G105+I105+K105,"Correcto","Falso")</f>
      </c>
      <c r="N105" s="29">
        <f>D105-(F105+H105+J105)</f>
      </c>
      <c r="O105" s="29">
        <f>E105-(G105+I105+K105)</f>
      </c>
      <c r="P105" s="30">
        <f>IF(D105&gt;0,F105/D105,0)</f>
      </c>
      <c r="Q105" s="30">
        <f>IF(D105&gt;0,J105/D105,0)</f>
      </c>
    </row>
    <row r="106" spans="1:17" x14ac:dyDescent="0.25">
      <c r="A106" s="20" t="s">
        <v>190</v>
      </c>
      <c r="B106" s="20" t="s">
        <v>38</v>
      </c>
      <c r="C106" s="20" t="s">
        <v>267</v>
      </c>
      <c r="D106" s="22">
        <v>0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8">
        <f>IF(D106=F106+H106+J106,"Correcto","Falso")</f>
      </c>
      <c r="M106" s="28">
        <f>IF(E106=G106+I106+K106,"Correcto","Falso")</f>
      </c>
      <c r="N106" s="29">
        <f>D106-(F106+H106+J106)</f>
      </c>
      <c r="O106" s="29">
        <f>E106-(G106+I106+K106)</f>
      </c>
      <c r="P106" s="30">
        <f>IF(D106&gt;0,F106/D106,0)</f>
      </c>
      <c r="Q106" s="30">
        <f>IF(D106&gt;0,J106/D106,0)</f>
      </c>
    </row>
    <row r="107" spans="1:17" x14ac:dyDescent="0.25">
      <c r="A107" s="20" t="s">
        <v>190</v>
      </c>
      <c r="B107" s="20" t="s">
        <v>38</v>
      </c>
      <c r="C107" s="20" t="s">
        <v>268</v>
      </c>
      <c r="D107" s="22">
        <v>0</v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  <c r="J107" s="22">
        <v>0</v>
      </c>
      <c r="K107" s="22">
        <v>0</v>
      </c>
      <c r="L107" s="28">
        <f>IF(D107=F107+H107+J107,"Correcto","Falso")</f>
      </c>
      <c r="M107" s="28">
        <f>IF(E107=G107+I107+K107,"Correcto","Falso")</f>
      </c>
      <c r="N107" s="29">
        <f>D107-(F107+H107+J107)</f>
      </c>
      <c r="O107" s="29">
        <f>E107-(G107+I107+K107)</f>
      </c>
      <c r="P107" s="30">
        <f>IF(D107&gt;0,F107/D107,0)</f>
      </c>
      <c r="Q107" s="30">
        <f>IF(D107&gt;0,J107/D107,0)</f>
      </c>
    </row>
    <row r="108" spans="1:17" x14ac:dyDescent="0.25">
      <c r="A108" s="20" t="s">
        <v>190</v>
      </c>
      <c r="B108" s="20" t="s">
        <v>38</v>
      </c>
      <c r="C108" s="20" t="s">
        <v>269</v>
      </c>
      <c r="D108" s="22">
        <v>0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8">
        <f>IF(D108=F108+H108+J108,"Correcto","Falso")</f>
      </c>
      <c r="M108" s="28">
        <f>IF(E108=G108+I108+K108,"Correcto","Falso")</f>
      </c>
      <c r="N108" s="29">
        <f>D108-(F108+H108+J108)</f>
      </c>
      <c r="O108" s="29">
        <f>E108-(G108+I108+K108)</f>
      </c>
      <c r="P108" s="30">
        <f>IF(D108&gt;0,F108/D108,0)</f>
      </c>
      <c r="Q108" s="30">
        <f>IF(D108&gt;0,J108/D108,0)</f>
      </c>
    </row>
    <row r="109" spans="1:17" x14ac:dyDescent="0.25">
      <c r="A109" s="20" t="s">
        <v>190</v>
      </c>
      <c r="B109" s="20" t="s">
        <v>38</v>
      </c>
      <c r="C109" s="20" t="s">
        <v>270</v>
      </c>
      <c r="D109" s="22">
        <v>0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8">
        <f>IF(D109=F109+H109+J109,"Correcto","Falso")</f>
      </c>
      <c r="M109" s="28">
        <f>IF(E109=G109+I109+K109,"Correcto","Falso")</f>
      </c>
      <c r="N109" s="29">
        <f>D109-(F109+H109+J109)</f>
      </c>
      <c r="O109" s="29">
        <f>E109-(G109+I109+K109)</f>
      </c>
      <c r="P109" s="30">
        <f>IF(D109&gt;0,F109/D109,0)</f>
      </c>
      <c r="Q109" s="30">
        <f>IF(D109&gt;0,J109/D109,0)</f>
      </c>
    </row>
    <row r="110" spans="1:17" x14ac:dyDescent="0.25">
      <c r="A110" s="20" t="s">
        <v>190</v>
      </c>
      <c r="B110" s="20" t="s">
        <v>38</v>
      </c>
      <c r="C110" s="20" t="s">
        <v>271</v>
      </c>
      <c r="D110" s="22">
        <v>0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  <c r="J110" s="22">
        <v>0</v>
      </c>
      <c r="K110" s="22">
        <v>0</v>
      </c>
      <c r="L110" s="28">
        <f>IF(D110=F110+H110+J110,"Correcto","Falso")</f>
      </c>
      <c r="M110" s="28">
        <f>IF(E110=G110+I110+K110,"Correcto","Falso")</f>
      </c>
      <c r="N110" s="29">
        <f>D110-(F110+H110+J110)</f>
      </c>
      <c r="O110" s="29">
        <f>E110-(G110+I110+K110)</f>
      </c>
      <c r="P110" s="30">
        <f>IF(D110&gt;0,F110/D110,0)</f>
      </c>
      <c r="Q110" s="30">
        <f>IF(D110&gt;0,J110/D110,0)</f>
      </c>
    </row>
    <row r="111" spans="1:17" x14ac:dyDescent="0.25">
      <c r="A111" s="20" t="s">
        <v>190</v>
      </c>
      <c r="B111" s="20" t="s">
        <v>39</v>
      </c>
      <c r="C111" s="20" t="s">
        <v>264</v>
      </c>
      <c r="D111" s="22">
        <v>0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  <c r="J111" s="22">
        <v>0</v>
      </c>
      <c r="K111" s="22">
        <v>0</v>
      </c>
      <c r="L111" s="28">
        <f>IF(D111=F111+H111+J111,"Correcto","Falso")</f>
      </c>
      <c r="M111" s="28">
        <f>IF(E111=G111+I111+K111,"Correcto","Falso")</f>
      </c>
      <c r="N111" s="29">
        <f>D111-(F111+H111+J111)</f>
      </c>
      <c r="O111" s="29">
        <f>E111-(G111+I111+K111)</f>
      </c>
      <c r="P111" s="30">
        <f>IF(D111&gt;0,F111/D111,0)</f>
      </c>
      <c r="Q111" s="30">
        <f>IF(D111&gt;0,J111/D111,0)</f>
      </c>
    </row>
    <row r="112" spans="1:17" x14ac:dyDescent="0.25">
      <c r="A112" s="20" t="s">
        <v>190</v>
      </c>
      <c r="B112" s="20" t="s">
        <v>39</v>
      </c>
      <c r="C112" s="20" t="s">
        <v>265</v>
      </c>
      <c r="D112" s="22">
        <v>0</v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  <c r="J112" s="22">
        <v>0</v>
      </c>
      <c r="K112" s="22">
        <v>0</v>
      </c>
      <c r="L112" s="28">
        <f>IF(D112=F112+H112+J112,"Correcto","Falso")</f>
      </c>
      <c r="M112" s="28">
        <f>IF(E112=G112+I112+K112,"Correcto","Falso")</f>
      </c>
      <c r="N112" s="29">
        <f>D112-(F112+H112+J112)</f>
      </c>
      <c r="O112" s="29">
        <f>E112-(G112+I112+K112)</f>
      </c>
      <c r="P112" s="30">
        <f>IF(D112&gt;0,F112/D112,0)</f>
      </c>
      <c r="Q112" s="30">
        <f>IF(D112&gt;0,J112/D112,0)</f>
      </c>
    </row>
    <row r="113" spans="1:17" x14ac:dyDescent="0.25">
      <c r="A113" s="20" t="s">
        <v>190</v>
      </c>
      <c r="B113" s="20" t="s">
        <v>39</v>
      </c>
      <c r="C113" s="20" t="s">
        <v>266</v>
      </c>
      <c r="D113" s="22">
        <v>0</v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8">
        <f>IF(D113=F113+H113+J113,"Correcto","Falso")</f>
      </c>
      <c r="M113" s="28">
        <f>IF(E113=G113+I113+K113,"Correcto","Falso")</f>
      </c>
      <c r="N113" s="29">
        <f>D113-(F113+H113+J113)</f>
      </c>
      <c r="O113" s="29">
        <f>E113-(G113+I113+K113)</f>
      </c>
      <c r="P113" s="30">
        <f>IF(D113&gt;0,F113/D113,0)</f>
      </c>
      <c r="Q113" s="30">
        <f>IF(D113&gt;0,J113/D113,0)</f>
      </c>
    </row>
    <row r="114" spans="1:17" x14ac:dyDescent="0.25">
      <c r="A114" s="20" t="s">
        <v>190</v>
      </c>
      <c r="B114" s="20" t="s">
        <v>39</v>
      </c>
      <c r="C114" s="20" t="s">
        <v>267</v>
      </c>
      <c r="D114" s="22">
        <v>0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8">
        <f>IF(D114=F114+H114+J114,"Correcto","Falso")</f>
      </c>
      <c r="M114" s="28">
        <f>IF(E114=G114+I114+K114,"Correcto","Falso")</f>
      </c>
      <c r="N114" s="29">
        <f>D114-(F114+H114+J114)</f>
      </c>
      <c r="O114" s="29">
        <f>E114-(G114+I114+K114)</f>
      </c>
      <c r="P114" s="30">
        <f>IF(D114&gt;0,F114/D114,0)</f>
      </c>
      <c r="Q114" s="30">
        <f>IF(D114&gt;0,J114/D114,0)</f>
      </c>
    </row>
    <row r="115" spans="1:17" x14ac:dyDescent="0.25">
      <c r="A115" s="20" t="s">
        <v>190</v>
      </c>
      <c r="B115" s="20" t="s">
        <v>39</v>
      </c>
      <c r="C115" s="20" t="s">
        <v>268</v>
      </c>
      <c r="D115" s="22">
        <v>0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8">
        <f>IF(D115=F115+H115+J115,"Correcto","Falso")</f>
      </c>
      <c r="M115" s="28">
        <f>IF(E115=G115+I115+K115,"Correcto","Falso")</f>
      </c>
      <c r="N115" s="29">
        <f>D115-(F115+H115+J115)</f>
      </c>
      <c r="O115" s="29">
        <f>E115-(G115+I115+K115)</f>
      </c>
      <c r="P115" s="30">
        <f>IF(D115&gt;0,F115/D115,0)</f>
      </c>
      <c r="Q115" s="30">
        <f>IF(D115&gt;0,J115/D115,0)</f>
      </c>
    </row>
    <row r="116" spans="1:17" x14ac:dyDescent="0.25">
      <c r="A116" s="20" t="s">
        <v>190</v>
      </c>
      <c r="B116" s="20" t="s">
        <v>39</v>
      </c>
      <c r="C116" s="20" t="s">
        <v>269</v>
      </c>
      <c r="D116" s="22">
        <v>0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  <c r="J116" s="22">
        <v>0</v>
      </c>
      <c r="K116" s="22">
        <v>0</v>
      </c>
      <c r="L116" s="28">
        <f>IF(D116=F116+H116+J116,"Correcto","Falso")</f>
      </c>
      <c r="M116" s="28">
        <f>IF(E116=G116+I116+K116,"Correcto","Falso")</f>
      </c>
      <c r="N116" s="29">
        <f>D116-(F116+H116+J116)</f>
      </c>
      <c r="O116" s="29">
        <f>E116-(G116+I116+K116)</f>
      </c>
      <c r="P116" s="30">
        <f>IF(D116&gt;0,F116/D116,0)</f>
      </c>
      <c r="Q116" s="30">
        <f>IF(D116&gt;0,J116/D116,0)</f>
      </c>
    </row>
    <row r="117" spans="1:17" x14ac:dyDescent="0.25">
      <c r="A117" s="20" t="s">
        <v>190</v>
      </c>
      <c r="B117" s="20" t="s">
        <v>39</v>
      </c>
      <c r="C117" s="20" t="s">
        <v>270</v>
      </c>
      <c r="D117" s="22">
        <v>0</v>
      </c>
      <c r="E117" s="22">
        <v>0</v>
      </c>
      <c r="F117" s="22">
        <v>0</v>
      </c>
      <c r="G117" s="22">
        <v>0</v>
      </c>
      <c r="H117" s="22">
        <v>0</v>
      </c>
      <c r="I117" s="22">
        <v>0</v>
      </c>
      <c r="J117" s="22">
        <v>0</v>
      </c>
      <c r="K117" s="22">
        <v>0</v>
      </c>
      <c r="L117" s="28">
        <f>IF(D117=F117+H117+J117,"Correcto","Falso")</f>
      </c>
      <c r="M117" s="28">
        <f>IF(E117=G117+I117+K117,"Correcto","Falso")</f>
      </c>
      <c r="N117" s="29">
        <f>D117-(F117+H117+J117)</f>
      </c>
      <c r="O117" s="29">
        <f>E117-(G117+I117+K117)</f>
      </c>
      <c r="P117" s="30">
        <f>IF(D117&gt;0,F117/D117,0)</f>
      </c>
      <c r="Q117" s="30">
        <f>IF(D117&gt;0,J117/D117,0)</f>
      </c>
    </row>
    <row r="118" spans="1:17" x14ac:dyDescent="0.25">
      <c r="A118" s="20" t="s">
        <v>190</v>
      </c>
      <c r="B118" s="20" t="s">
        <v>39</v>
      </c>
      <c r="C118" s="20" t="s">
        <v>271</v>
      </c>
      <c r="D118" s="22">
        <v>0</v>
      </c>
      <c r="E118" s="22">
        <v>0</v>
      </c>
      <c r="F118" s="22">
        <v>0</v>
      </c>
      <c r="G118" s="22">
        <v>0</v>
      </c>
      <c r="H118" s="22">
        <v>0</v>
      </c>
      <c r="I118" s="22">
        <v>0</v>
      </c>
      <c r="J118" s="22">
        <v>0</v>
      </c>
      <c r="K118" s="22">
        <v>0</v>
      </c>
      <c r="L118" s="28">
        <f>IF(D118=F118+H118+J118,"Correcto","Falso")</f>
      </c>
      <c r="M118" s="28">
        <f>IF(E118=G118+I118+K118,"Correcto","Falso")</f>
      </c>
      <c r="N118" s="29">
        <f>D118-(F118+H118+J118)</f>
      </c>
      <c r="O118" s="29">
        <f>E118-(G118+I118+K118)</f>
      </c>
      <c r="P118" s="30">
        <f>IF(D118&gt;0,F118/D118,0)</f>
      </c>
      <c r="Q118" s="30">
        <f>IF(D118&gt;0,J118/D118,0)</f>
      </c>
    </row>
    <row r="119" spans="1:17" x14ac:dyDescent="0.25">
      <c r="A119" s="20" t="s">
        <v>190</v>
      </c>
      <c r="B119" s="20" t="s">
        <v>40</v>
      </c>
      <c r="C119" s="20" t="s">
        <v>264</v>
      </c>
      <c r="D119" s="22">
        <v>0</v>
      </c>
      <c r="E119" s="22">
        <v>0</v>
      </c>
      <c r="F119" s="22">
        <v>0</v>
      </c>
      <c r="G119" s="22">
        <v>0</v>
      </c>
      <c r="H119" s="22">
        <v>0</v>
      </c>
      <c r="I119" s="22">
        <v>0</v>
      </c>
      <c r="J119" s="22">
        <v>0</v>
      </c>
      <c r="K119" s="22">
        <v>0</v>
      </c>
      <c r="L119" s="28">
        <f>IF(D119=F119+H119+J119,"Correcto","Falso")</f>
      </c>
      <c r="M119" s="28">
        <f>IF(E119=G119+I119+K119,"Correcto","Falso")</f>
      </c>
      <c r="N119" s="29">
        <f>D119-(F119+H119+J119)</f>
      </c>
      <c r="O119" s="29">
        <f>E119-(G119+I119+K119)</f>
      </c>
      <c r="P119" s="30">
        <f>IF(D119&gt;0,F119/D119,0)</f>
      </c>
      <c r="Q119" s="30">
        <f>IF(D119&gt;0,J119/D119,0)</f>
      </c>
    </row>
    <row r="120" spans="1:17" x14ac:dyDescent="0.25">
      <c r="A120" s="20" t="s">
        <v>190</v>
      </c>
      <c r="B120" s="20" t="s">
        <v>40</v>
      </c>
      <c r="C120" s="20" t="s">
        <v>265</v>
      </c>
      <c r="D120" s="22">
        <v>0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  <c r="J120" s="22">
        <v>0</v>
      </c>
      <c r="K120" s="22">
        <v>0</v>
      </c>
      <c r="L120" s="28">
        <f>IF(D120=F120+H120+J120,"Correcto","Falso")</f>
      </c>
      <c r="M120" s="28">
        <f>IF(E120=G120+I120+K120,"Correcto","Falso")</f>
      </c>
      <c r="N120" s="29">
        <f>D120-(F120+H120+J120)</f>
      </c>
      <c r="O120" s="29">
        <f>E120-(G120+I120+K120)</f>
      </c>
      <c r="P120" s="30">
        <f>IF(D120&gt;0,F120/D120,0)</f>
      </c>
      <c r="Q120" s="30">
        <f>IF(D120&gt;0,J120/D120,0)</f>
      </c>
    </row>
    <row r="121" spans="1:17" x14ac:dyDescent="0.25">
      <c r="A121" s="20" t="s">
        <v>190</v>
      </c>
      <c r="B121" s="20" t="s">
        <v>40</v>
      </c>
      <c r="C121" s="20" t="s">
        <v>266</v>
      </c>
      <c r="D121" s="22">
        <v>0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  <c r="J121" s="22">
        <v>0</v>
      </c>
      <c r="K121" s="22">
        <v>0</v>
      </c>
      <c r="L121" s="28">
        <f>IF(D121=F121+H121+J121,"Correcto","Falso")</f>
      </c>
      <c r="M121" s="28">
        <f>IF(E121=G121+I121+K121,"Correcto","Falso")</f>
      </c>
      <c r="N121" s="29">
        <f>D121-(F121+H121+J121)</f>
      </c>
      <c r="O121" s="29">
        <f>E121-(G121+I121+K121)</f>
      </c>
      <c r="P121" s="30">
        <f>IF(D121&gt;0,F121/D121,0)</f>
      </c>
      <c r="Q121" s="30">
        <f>IF(D121&gt;0,J121/D121,0)</f>
      </c>
    </row>
    <row r="122" spans="1:17" x14ac:dyDescent="0.25">
      <c r="A122" s="20" t="s">
        <v>190</v>
      </c>
      <c r="B122" s="20" t="s">
        <v>40</v>
      </c>
      <c r="C122" s="20" t="s">
        <v>267</v>
      </c>
      <c r="D122" s="22">
        <v>0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8">
        <f>IF(D122=F122+H122+J122,"Correcto","Falso")</f>
      </c>
      <c r="M122" s="28">
        <f>IF(E122=G122+I122+K122,"Correcto","Falso")</f>
      </c>
      <c r="N122" s="29">
        <f>D122-(F122+H122+J122)</f>
      </c>
      <c r="O122" s="29">
        <f>E122-(G122+I122+K122)</f>
      </c>
      <c r="P122" s="30">
        <f>IF(D122&gt;0,F122/D122,0)</f>
      </c>
      <c r="Q122" s="30">
        <f>IF(D122&gt;0,J122/D122,0)</f>
      </c>
    </row>
    <row r="123" spans="1:17" x14ac:dyDescent="0.25">
      <c r="A123" s="20" t="s">
        <v>190</v>
      </c>
      <c r="B123" s="20" t="s">
        <v>40</v>
      </c>
      <c r="C123" s="20" t="s">
        <v>268</v>
      </c>
      <c r="D123" s="22">
        <v>0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8">
        <f>IF(D123=F123+H123+J123,"Correcto","Falso")</f>
      </c>
      <c r="M123" s="28">
        <f>IF(E123=G123+I123+K123,"Correcto","Falso")</f>
      </c>
      <c r="N123" s="29">
        <f>D123-(F123+H123+J123)</f>
      </c>
      <c r="O123" s="29">
        <f>E123-(G123+I123+K123)</f>
      </c>
      <c r="P123" s="30">
        <f>IF(D123&gt;0,F123/D123,0)</f>
      </c>
      <c r="Q123" s="30">
        <f>IF(D123&gt;0,J123/D123,0)</f>
      </c>
    </row>
    <row r="124" spans="1:17" x14ac:dyDescent="0.25">
      <c r="A124" s="20" t="s">
        <v>190</v>
      </c>
      <c r="B124" s="20" t="s">
        <v>40</v>
      </c>
      <c r="C124" s="20" t="s">
        <v>269</v>
      </c>
      <c r="D124" s="22">
        <v>0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8">
        <f>IF(D124=F124+H124+J124,"Correcto","Falso")</f>
      </c>
      <c r="M124" s="28">
        <f>IF(E124=G124+I124+K124,"Correcto","Falso")</f>
      </c>
      <c r="N124" s="29">
        <f>D124-(F124+H124+J124)</f>
      </c>
      <c r="O124" s="29">
        <f>E124-(G124+I124+K124)</f>
      </c>
      <c r="P124" s="30">
        <f>IF(D124&gt;0,F124/D124,0)</f>
      </c>
      <c r="Q124" s="30">
        <f>IF(D124&gt;0,J124/D124,0)</f>
      </c>
    </row>
    <row r="125" spans="1:17" x14ac:dyDescent="0.25">
      <c r="A125" s="20" t="s">
        <v>190</v>
      </c>
      <c r="B125" s="20" t="s">
        <v>40</v>
      </c>
      <c r="C125" s="20" t="s">
        <v>270</v>
      </c>
      <c r="D125" s="22">
        <v>0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8">
        <f>IF(D125=F125+H125+J125,"Correcto","Falso")</f>
      </c>
      <c r="M125" s="28">
        <f>IF(E125=G125+I125+K125,"Correcto","Falso")</f>
      </c>
      <c r="N125" s="29">
        <f>D125-(F125+H125+J125)</f>
      </c>
      <c r="O125" s="29">
        <f>E125-(G125+I125+K125)</f>
      </c>
      <c r="P125" s="30">
        <f>IF(D125&gt;0,F125/D125,0)</f>
      </c>
      <c r="Q125" s="30">
        <f>IF(D125&gt;0,J125/D125,0)</f>
      </c>
    </row>
    <row r="126" spans="1:17" x14ac:dyDescent="0.25">
      <c r="A126" s="20" t="s">
        <v>190</v>
      </c>
      <c r="B126" s="20" t="s">
        <v>40</v>
      </c>
      <c r="C126" s="20" t="s">
        <v>271</v>
      </c>
      <c r="D126" s="22">
        <v>0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8">
        <f>IF(D126=F126+H126+J126,"Correcto","Falso")</f>
      </c>
      <c r="M126" s="28">
        <f>IF(E126=G126+I126+K126,"Correcto","Falso")</f>
      </c>
      <c r="N126" s="29">
        <f>D126-(F126+H126+J126)</f>
      </c>
      <c r="O126" s="29">
        <f>E126-(G126+I126+K126)</f>
      </c>
      <c r="P126" s="30">
        <f>IF(D126&gt;0,F126/D126,0)</f>
      </c>
      <c r="Q126" s="30">
        <f>IF(D126&gt;0,J126/D126,0)</f>
      </c>
    </row>
    <row r="127" spans="1:17" x14ac:dyDescent="0.25">
      <c r="A127" s="20" t="s">
        <v>190</v>
      </c>
      <c r="B127" s="20" t="s">
        <v>247</v>
      </c>
      <c r="C127" s="20" t="s">
        <v>264</v>
      </c>
      <c r="D127" s="22">
        <v>0</v>
      </c>
      <c r="E127" s="22">
        <v>0</v>
      </c>
      <c r="F127" s="22">
        <v>0</v>
      </c>
      <c r="G127" s="22">
        <v>0</v>
      </c>
      <c r="H127" s="22">
        <v>0</v>
      </c>
      <c r="I127" s="22">
        <v>0</v>
      </c>
      <c r="J127" s="22">
        <v>0</v>
      </c>
      <c r="K127" s="22">
        <v>0</v>
      </c>
      <c r="L127" s="28">
        <f>IF(D127=F127+H127+J127,"Correcto","Falso")</f>
      </c>
      <c r="M127" s="28">
        <f>IF(E127=G127+I127+K127,"Correcto","Falso")</f>
      </c>
      <c r="N127" s="29">
        <f>D127-(F127+H127+J127)</f>
      </c>
      <c r="O127" s="29">
        <f>E127-(G127+I127+K127)</f>
      </c>
      <c r="P127" s="30">
        <f>IF(D127&gt;0,F127/D127,0)</f>
      </c>
      <c r="Q127" s="30">
        <f>IF(D127&gt;0,J127/D127,0)</f>
      </c>
    </row>
    <row r="128" spans="1:17" x14ac:dyDescent="0.25">
      <c r="A128" s="20" t="s">
        <v>190</v>
      </c>
      <c r="B128" s="20" t="s">
        <v>247</v>
      </c>
      <c r="C128" s="20" t="s">
        <v>265</v>
      </c>
      <c r="D128" s="22">
        <v>0</v>
      </c>
      <c r="E128" s="22">
        <v>0</v>
      </c>
      <c r="F128" s="22">
        <v>0</v>
      </c>
      <c r="G128" s="22">
        <v>0</v>
      </c>
      <c r="H128" s="22">
        <v>0</v>
      </c>
      <c r="I128" s="22">
        <v>0</v>
      </c>
      <c r="J128" s="22">
        <v>0</v>
      </c>
      <c r="K128" s="22">
        <v>0</v>
      </c>
      <c r="L128" s="28">
        <f>IF(D128=F128+H128+J128,"Correcto","Falso")</f>
      </c>
      <c r="M128" s="28">
        <f>IF(E128=G128+I128+K128,"Correcto","Falso")</f>
      </c>
      <c r="N128" s="29">
        <f>D128-(F128+H128+J128)</f>
      </c>
      <c r="O128" s="29">
        <f>E128-(G128+I128+K128)</f>
      </c>
      <c r="P128" s="30">
        <f>IF(D128&gt;0,F128/D128,0)</f>
      </c>
      <c r="Q128" s="30">
        <f>IF(D128&gt;0,J128/D128,0)</f>
      </c>
    </row>
    <row r="129" spans="1:17" x14ac:dyDescent="0.25">
      <c r="A129" s="20" t="s">
        <v>190</v>
      </c>
      <c r="B129" s="20" t="s">
        <v>247</v>
      </c>
      <c r="C129" s="20" t="s">
        <v>266</v>
      </c>
      <c r="D129" s="22">
        <v>0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  <c r="J129" s="22">
        <v>0</v>
      </c>
      <c r="K129" s="22">
        <v>0</v>
      </c>
      <c r="L129" s="28">
        <f>IF(D129=F129+H129+J129,"Correcto","Falso")</f>
      </c>
      <c r="M129" s="28">
        <f>IF(E129=G129+I129+K129,"Correcto","Falso")</f>
      </c>
      <c r="N129" s="29">
        <f>D129-(F129+H129+J129)</f>
      </c>
      <c r="O129" s="29">
        <f>E129-(G129+I129+K129)</f>
      </c>
      <c r="P129" s="30">
        <f>IF(D129&gt;0,F129/D129,0)</f>
      </c>
      <c r="Q129" s="30">
        <f>IF(D129&gt;0,J129/D129,0)</f>
      </c>
    </row>
    <row r="130" spans="1:17" x14ac:dyDescent="0.25">
      <c r="A130" s="20" t="s">
        <v>190</v>
      </c>
      <c r="B130" s="20" t="s">
        <v>247</v>
      </c>
      <c r="C130" s="20" t="s">
        <v>267</v>
      </c>
      <c r="D130" s="22">
        <v>0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28">
        <f>IF(D130=F130+H130+J130,"Correcto","Falso")</f>
      </c>
      <c r="M130" s="28">
        <f>IF(E130=G130+I130+K130,"Correcto","Falso")</f>
      </c>
      <c r="N130" s="29">
        <f>D130-(F130+H130+J130)</f>
      </c>
      <c r="O130" s="29">
        <f>E130-(G130+I130+K130)</f>
      </c>
      <c r="P130" s="30">
        <f>IF(D130&gt;0,F130/D130,0)</f>
      </c>
      <c r="Q130" s="30">
        <f>IF(D130&gt;0,J130/D130,0)</f>
      </c>
    </row>
    <row r="131" spans="1:17" x14ac:dyDescent="0.25">
      <c r="A131" s="20" t="s">
        <v>190</v>
      </c>
      <c r="B131" s="20" t="s">
        <v>247</v>
      </c>
      <c r="C131" s="20" t="s">
        <v>268</v>
      </c>
      <c r="D131" s="22">
        <v>0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  <c r="J131" s="22">
        <v>0</v>
      </c>
      <c r="K131" s="22">
        <v>0</v>
      </c>
      <c r="L131" s="28">
        <f>IF(D131=F131+H131+J131,"Correcto","Falso")</f>
      </c>
      <c r="M131" s="28">
        <f>IF(E131=G131+I131+K131,"Correcto","Falso")</f>
      </c>
      <c r="N131" s="29">
        <f>D131-(F131+H131+J131)</f>
      </c>
      <c r="O131" s="29">
        <f>E131-(G131+I131+K131)</f>
      </c>
      <c r="P131" s="30">
        <f>IF(D131&gt;0,F131/D131,0)</f>
      </c>
      <c r="Q131" s="30">
        <f>IF(D131&gt;0,J131/D131,0)</f>
      </c>
    </row>
    <row r="132" spans="1:17" x14ac:dyDescent="0.25">
      <c r="A132" s="20" t="s">
        <v>190</v>
      </c>
      <c r="B132" s="20" t="s">
        <v>247</v>
      </c>
      <c r="C132" s="20" t="s">
        <v>269</v>
      </c>
      <c r="D132" s="22">
        <v>0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8">
        <f>IF(D132=F132+H132+J132,"Correcto","Falso")</f>
      </c>
      <c r="M132" s="28">
        <f>IF(E132=G132+I132+K132,"Correcto","Falso")</f>
      </c>
      <c r="N132" s="29">
        <f>D132-(F132+H132+J132)</f>
      </c>
      <c r="O132" s="29">
        <f>E132-(G132+I132+K132)</f>
      </c>
      <c r="P132" s="30">
        <f>IF(D132&gt;0,F132/D132,0)</f>
      </c>
      <c r="Q132" s="30">
        <f>IF(D132&gt;0,J132/D132,0)</f>
      </c>
    </row>
    <row r="133" spans="1:17" x14ac:dyDescent="0.25">
      <c r="A133" s="20" t="s">
        <v>190</v>
      </c>
      <c r="B133" s="20" t="s">
        <v>247</v>
      </c>
      <c r="C133" s="20" t="s">
        <v>270</v>
      </c>
      <c r="D133" s="22">
        <v>0</v>
      </c>
      <c r="E133" s="22">
        <v>0</v>
      </c>
      <c r="F133" s="22">
        <v>0</v>
      </c>
      <c r="G133" s="22">
        <v>0</v>
      </c>
      <c r="H133" s="22">
        <v>0</v>
      </c>
      <c r="I133" s="22">
        <v>0</v>
      </c>
      <c r="J133" s="22">
        <v>0</v>
      </c>
      <c r="K133" s="22">
        <v>0</v>
      </c>
      <c r="L133" s="28">
        <f>IF(D133=F133+H133+J133,"Correcto","Falso")</f>
      </c>
      <c r="M133" s="28">
        <f>IF(E133=G133+I133+K133,"Correcto","Falso")</f>
      </c>
      <c r="N133" s="29">
        <f>D133-(F133+H133+J133)</f>
      </c>
      <c r="O133" s="29">
        <f>E133-(G133+I133+K133)</f>
      </c>
      <c r="P133" s="30">
        <f>IF(D133&gt;0,F133/D133,0)</f>
      </c>
      <c r="Q133" s="30">
        <f>IF(D133&gt;0,J133/D133,0)</f>
      </c>
    </row>
    <row r="134" spans="1:17" x14ac:dyDescent="0.25">
      <c r="A134" s="20" t="s">
        <v>190</v>
      </c>
      <c r="B134" s="20" t="s">
        <v>247</v>
      </c>
      <c r="C134" s="20" t="s">
        <v>271</v>
      </c>
      <c r="D134" s="22">
        <v>0</v>
      </c>
      <c r="E134" s="22">
        <v>0</v>
      </c>
      <c r="F134" s="22">
        <v>0</v>
      </c>
      <c r="G134" s="22">
        <v>0</v>
      </c>
      <c r="H134" s="22">
        <v>0</v>
      </c>
      <c r="I134" s="22">
        <v>0</v>
      </c>
      <c r="J134" s="22">
        <v>0</v>
      </c>
      <c r="K134" s="22">
        <v>0</v>
      </c>
      <c r="L134" s="28">
        <f>IF(D134=F134+H134+J134,"Correcto","Falso")</f>
      </c>
      <c r="M134" s="28">
        <f>IF(E134=G134+I134+K134,"Correcto","Falso")</f>
      </c>
      <c r="N134" s="29">
        <f>D134-(F134+H134+J134)</f>
      </c>
      <c r="O134" s="29">
        <f>E134-(G134+I134+K134)</f>
      </c>
      <c r="P134" s="30">
        <f>IF(D134&gt;0,F134/D134,0)</f>
      </c>
      <c r="Q134" s="30">
        <f>IF(D134&gt;0,J134/D134,0)</f>
      </c>
    </row>
    <row r="135" spans="1:17" x14ac:dyDescent="0.25">
      <c r="A135" s="20" t="s">
        <v>190</v>
      </c>
      <c r="B135" s="20" t="s">
        <v>38</v>
      </c>
      <c r="C135" s="20" t="s">
        <v>239</v>
      </c>
      <c r="D135" s="22">
        <v>0</v>
      </c>
      <c r="E135" s="22">
        <v>0</v>
      </c>
      <c r="F135" s="22">
        <v>0</v>
      </c>
      <c r="G135" s="22">
        <v>0</v>
      </c>
      <c r="H135" s="22">
        <v>0</v>
      </c>
      <c r="I135" s="22">
        <v>0</v>
      </c>
      <c r="J135" s="22">
        <v>0</v>
      </c>
      <c r="K135" s="22">
        <v>0</v>
      </c>
      <c r="L135" s="28">
        <f>IF(D135=F135+H135+J135,"Correcto","Falso")</f>
      </c>
      <c r="M135" s="28">
        <f>IF(E135=G135+I135+K135,"Correcto","Falso")</f>
      </c>
      <c r="N135" s="29">
        <f>D135-(F135+H135+J135)</f>
      </c>
      <c r="O135" s="29">
        <f>E135-(G135+I135+K135)</f>
      </c>
      <c r="P135" s="30">
        <f>IF(D135&gt;0,F135/D135,0)</f>
      </c>
      <c r="Q135" s="30">
        <f>IF(D135&gt;0,J135/D135,0)</f>
      </c>
    </row>
    <row r="136" spans="1:17" x14ac:dyDescent="0.25">
      <c r="A136" s="20" t="s">
        <v>190</v>
      </c>
      <c r="B136" s="20" t="s">
        <v>38</v>
      </c>
      <c r="C136" s="20" t="s">
        <v>240</v>
      </c>
      <c r="D136" s="22">
        <v>0</v>
      </c>
      <c r="E136" s="22">
        <v>0</v>
      </c>
      <c r="F136" s="22">
        <v>0</v>
      </c>
      <c r="G136" s="22">
        <v>0</v>
      </c>
      <c r="H136" s="22">
        <v>0</v>
      </c>
      <c r="I136" s="22">
        <v>0</v>
      </c>
      <c r="J136" s="22">
        <v>0</v>
      </c>
      <c r="K136" s="22">
        <v>0</v>
      </c>
      <c r="L136" s="28">
        <f>IF(D136=F136+H136+J136,"Correcto","Falso")</f>
      </c>
      <c r="M136" s="28">
        <f>IF(E136=G136+I136+K136,"Correcto","Falso")</f>
      </c>
      <c r="N136" s="29">
        <f>D136-(F136+H136+J136)</f>
      </c>
      <c r="O136" s="29">
        <f>E136-(G136+I136+K136)</f>
      </c>
      <c r="P136" s="30">
        <f>IF(D136&gt;0,F136/D136,0)</f>
      </c>
      <c r="Q136" s="30">
        <f>IF(D136&gt;0,J136/D136,0)</f>
      </c>
    </row>
    <row r="137" spans="1:17" x14ac:dyDescent="0.25">
      <c r="A137" s="20" t="s">
        <v>190</v>
      </c>
      <c r="B137" s="20" t="s">
        <v>38</v>
      </c>
      <c r="C137" s="20" t="s">
        <v>241</v>
      </c>
      <c r="D137" s="22">
        <v>0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8">
        <f>IF(D137=F137+H137+J137,"Correcto","Falso")</f>
      </c>
      <c r="M137" s="28">
        <f>IF(E137=G137+I137+K137,"Correcto","Falso")</f>
      </c>
      <c r="N137" s="29">
        <f>D137-(F137+H137+J137)</f>
      </c>
      <c r="O137" s="29">
        <f>E137-(G137+I137+K137)</f>
      </c>
      <c r="P137" s="30">
        <f>IF(D137&gt;0,F137/D137,0)</f>
      </c>
      <c r="Q137" s="30">
        <f>IF(D137&gt;0,J137/D137,0)</f>
      </c>
    </row>
    <row r="138" spans="1:17" x14ac:dyDescent="0.25">
      <c r="A138" s="20" t="s">
        <v>190</v>
      </c>
      <c r="B138" s="20" t="s">
        <v>38</v>
      </c>
      <c r="C138" s="20" t="s">
        <v>242</v>
      </c>
      <c r="D138" s="22">
        <v>0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8">
        <f>IF(D138=F138+H138+J138,"Correcto","Falso")</f>
      </c>
      <c r="M138" s="28">
        <f>IF(E138=G138+I138+K138,"Correcto","Falso")</f>
      </c>
      <c r="N138" s="29">
        <f>D138-(F138+H138+J138)</f>
      </c>
      <c r="O138" s="29">
        <f>E138-(G138+I138+K138)</f>
      </c>
      <c r="P138" s="30">
        <f>IF(D138&gt;0,F138/D138,0)</f>
      </c>
      <c r="Q138" s="30">
        <f>IF(D138&gt;0,J138/D138,0)</f>
      </c>
    </row>
    <row r="139" spans="1:17" x14ac:dyDescent="0.25">
      <c r="A139" s="20" t="s">
        <v>190</v>
      </c>
      <c r="B139" s="20" t="s">
        <v>38</v>
      </c>
      <c r="C139" s="20" t="s">
        <v>243</v>
      </c>
      <c r="D139" s="22">
        <v>0</v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  <c r="J139" s="22">
        <v>0</v>
      </c>
      <c r="K139" s="22">
        <v>0</v>
      </c>
      <c r="L139" s="28">
        <f>IF(D139=F139+H139+J139,"Correcto","Falso")</f>
      </c>
      <c r="M139" s="28">
        <f>IF(E139=G139+I139+K139,"Correcto","Falso")</f>
      </c>
      <c r="N139" s="29">
        <f>D139-(F139+H139+J139)</f>
      </c>
      <c r="O139" s="29">
        <f>E139-(G139+I139+K139)</f>
      </c>
      <c r="P139" s="30">
        <f>IF(D139&gt;0,F139/D139,0)</f>
      </c>
      <c r="Q139" s="30">
        <f>IF(D139&gt;0,J139/D139,0)</f>
      </c>
    </row>
    <row r="140" spans="1:17" x14ac:dyDescent="0.25">
      <c r="A140" s="20" t="s">
        <v>190</v>
      </c>
      <c r="B140" s="20" t="s">
        <v>38</v>
      </c>
      <c r="C140" s="20" t="s">
        <v>244</v>
      </c>
      <c r="D140" s="22">
        <v>0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8">
        <f>IF(D140=F140+H140+J140,"Correcto","Falso")</f>
      </c>
      <c r="M140" s="28">
        <f>IF(E140=G140+I140+K140,"Correcto","Falso")</f>
      </c>
      <c r="N140" s="29">
        <f>D140-(F140+H140+J140)</f>
      </c>
      <c r="O140" s="29">
        <f>E140-(G140+I140+K140)</f>
      </c>
      <c r="P140" s="30">
        <f>IF(D140&gt;0,F140/D140,0)</f>
      </c>
      <c r="Q140" s="30">
        <f>IF(D140&gt;0,J140/D140,0)</f>
      </c>
    </row>
    <row r="141" spans="1:17" x14ac:dyDescent="0.25">
      <c r="A141" s="20" t="s">
        <v>190</v>
      </c>
      <c r="B141" s="20" t="s">
        <v>38</v>
      </c>
      <c r="C141" s="20" t="s">
        <v>245</v>
      </c>
      <c r="D141" s="22">
        <v>0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8">
        <f>IF(D141=F141+H141+J141,"Correcto","Falso")</f>
      </c>
      <c r="M141" s="28">
        <f>IF(E141=G141+I141+K141,"Correcto","Falso")</f>
      </c>
      <c r="N141" s="29">
        <f>D141-(F141+H141+J141)</f>
      </c>
      <c r="O141" s="29">
        <f>E141-(G141+I141+K141)</f>
      </c>
      <c r="P141" s="30">
        <f>IF(D141&gt;0,F141/D141,0)</f>
      </c>
      <c r="Q141" s="30">
        <f>IF(D141&gt;0,J141/D141,0)</f>
      </c>
    </row>
    <row r="142" spans="1:17" x14ac:dyDescent="0.25">
      <c r="A142" s="20" t="s">
        <v>190</v>
      </c>
      <c r="B142" s="20" t="s">
        <v>38</v>
      </c>
      <c r="C142" s="20" t="s">
        <v>246</v>
      </c>
      <c r="D142" s="22">
        <v>0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8">
        <f>IF(D142=F142+H142+J142,"Correcto","Falso")</f>
      </c>
      <c r="M142" s="28">
        <f>IF(E142=G142+I142+K142,"Correcto","Falso")</f>
      </c>
      <c r="N142" s="29">
        <f>D142-(F142+H142+J142)</f>
      </c>
      <c r="O142" s="29">
        <f>E142-(G142+I142+K142)</f>
      </c>
      <c r="P142" s="30">
        <f>IF(D142&gt;0,F142/D142,0)</f>
      </c>
      <c r="Q142" s="30">
        <f>IF(D142&gt;0,J142/D142,0)</f>
      </c>
    </row>
    <row r="143" spans="1:17" x14ac:dyDescent="0.25">
      <c r="A143" s="20" t="s">
        <v>190</v>
      </c>
      <c r="B143" s="20" t="s">
        <v>39</v>
      </c>
      <c r="C143" s="20" t="s">
        <v>239</v>
      </c>
      <c r="D143" s="22">
        <v>0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8">
        <f>IF(D143=F143+H143+J143,"Correcto","Falso")</f>
      </c>
      <c r="M143" s="28">
        <f>IF(E143=G143+I143+K143,"Correcto","Falso")</f>
      </c>
      <c r="N143" s="29">
        <f>D143-(F143+H143+J143)</f>
      </c>
      <c r="O143" s="29">
        <f>E143-(G143+I143+K143)</f>
      </c>
      <c r="P143" s="30">
        <f>IF(D143&gt;0,F143/D143,0)</f>
      </c>
      <c r="Q143" s="30">
        <f>IF(D143&gt;0,J143/D143,0)</f>
      </c>
    </row>
    <row r="144" spans="1:17" x14ac:dyDescent="0.25">
      <c r="A144" s="20" t="s">
        <v>190</v>
      </c>
      <c r="B144" s="20" t="s">
        <v>39</v>
      </c>
      <c r="C144" s="20" t="s">
        <v>240</v>
      </c>
      <c r="D144" s="22">
        <v>0</v>
      </c>
      <c r="E144" s="22">
        <v>0</v>
      </c>
      <c r="F144" s="22">
        <v>0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8">
        <f>IF(D144=F144+H144+J144,"Correcto","Falso")</f>
      </c>
      <c r="M144" s="28">
        <f>IF(E144=G144+I144+K144,"Correcto","Falso")</f>
      </c>
      <c r="N144" s="29">
        <f>D144-(F144+H144+J144)</f>
      </c>
      <c r="O144" s="29">
        <f>E144-(G144+I144+K144)</f>
      </c>
      <c r="P144" s="30">
        <f>IF(D144&gt;0,F144/D144,0)</f>
      </c>
      <c r="Q144" s="30">
        <f>IF(D144&gt;0,J144/D144,0)</f>
      </c>
    </row>
    <row r="145" spans="1:17" x14ac:dyDescent="0.25">
      <c r="A145" s="20" t="s">
        <v>190</v>
      </c>
      <c r="B145" s="20" t="s">
        <v>39</v>
      </c>
      <c r="C145" s="20" t="s">
        <v>241</v>
      </c>
      <c r="D145" s="22">
        <v>0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  <c r="J145" s="22">
        <v>0</v>
      </c>
      <c r="K145" s="22">
        <v>0</v>
      </c>
      <c r="L145" s="28">
        <f>IF(D145=F145+H145+J145,"Correcto","Falso")</f>
      </c>
      <c r="M145" s="28">
        <f>IF(E145=G145+I145+K145,"Correcto","Falso")</f>
      </c>
      <c r="N145" s="29">
        <f>D145-(F145+H145+J145)</f>
      </c>
      <c r="O145" s="29">
        <f>E145-(G145+I145+K145)</f>
      </c>
      <c r="P145" s="30">
        <f>IF(D145&gt;0,F145/D145,0)</f>
      </c>
      <c r="Q145" s="30">
        <f>IF(D145&gt;0,J145/D145,0)</f>
      </c>
    </row>
    <row r="146" spans="1:17" x14ac:dyDescent="0.25">
      <c r="A146" s="20" t="s">
        <v>190</v>
      </c>
      <c r="B146" s="20" t="s">
        <v>39</v>
      </c>
      <c r="C146" s="20" t="s">
        <v>242</v>
      </c>
      <c r="D146" s="22">
        <v>0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  <c r="J146" s="22">
        <v>0</v>
      </c>
      <c r="K146" s="22">
        <v>0</v>
      </c>
      <c r="L146" s="28">
        <f>IF(D146=F146+H146+J146,"Correcto","Falso")</f>
      </c>
      <c r="M146" s="28">
        <f>IF(E146=G146+I146+K146,"Correcto","Falso")</f>
      </c>
      <c r="N146" s="29">
        <f>D146-(F146+H146+J146)</f>
      </c>
      <c r="O146" s="29">
        <f>E146-(G146+I146+K146)</f>
      </c>
      <c r="P146" s="30">
        <f>IF(D146&gt;0,F146/D146,0)</f>
      </c>
      <c r="Q146" s="30">
        <f>IF(D146&gt;0,J146/D146,0)</f>
      </c>
    </row>
    <row r="147" spans="1:17" x14ac:dyDescent="0.25">
      <c r="A147" s="20" t="s">
        <v>190</v>
      </c>
      <c r="B147" s="20" t="s">
        <v>39</v>
      </c>
      <c r="C147" s="20" t="s">
        <v>243</v>
      </c>
      <c r="D147" s="22">
        <v>0</v>
      </c>
      <c r="E147" s="22">
        <v>0</v>
      </c>
      <c r="F147" s="22">
        <v>0</v>
      </c>
      <c r="G147" s="22">
        <v>0</v>
      </c>
      <c r="H147" s="22">
        <v>0</v>
      </c>
      <c r="I147" s="22">
        <v>0</v>
      </c>
      <c r="J147" s="22">
        <v>0</v>
      </c>
      <c r="K147" s="22">
        <v>0</v>
      </c>
      <c r="L147" s="28">
        <f>IF(D147=F147+H147+J147,"Correcto","Falso")</f>
      </c>
      <c r="M147" s="28">
        <f>IF(E147=G147+I147+K147,"Correcto","Falso")</f>
      </c>
      <c r="N147" s="29">
        <f>D147-(F147+H147+J147)</f>
      </c>
      <c r="O147" s="29">
        <f>E147-(G147+I147+K147)</f>
      </c>
      <c r="P147" s="30">
        <f>IF(D147&gt;0,F147/D147,0)</f>
      </c>
      <c r="Q147" s="30">
        <f>IF(D147&gt;0,J147/D147,0)</f>
      </c>
    </row>
    <row r="148" spans="1:17" x14ac:dyDescent="0.25">
      <c r="A148" s="20" t="s">
        <v>190</v>
      </c>
      <c r="B148" s="20" t="s">
        <v>39</v>
      </c>
      <c r="C148" s="20" t="s">
        <v>244</v>
      </c>
      <c r="D148" s="22">
        <v>0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  <c r="J148" s="22">
        <v>0</v>
      </c>
      <c r="K148" s="22">
        <v>0</v>
      </c>
      <c r="L148" s="28">
        <f>IF(D148=F148+H148+J148,"Correcto","Falso")</f>
      </c>
      <c r="M148" s="28">
        <f>IF(E148=G148+I148+K148,"Correcto","Falso")</f>
      </c>
      <c r="N148" s="29">
        <f>D148-(F148+H148+J148)</f>
      </c>
      <c r="O148" s="29">
        <f>E148-(G148+I148+K148)</f>
      </c>
      <c r="P148" s="30">
        <f>IF(D148&gt;0,F148/D148,0)</f>
      </c>
      <c r="Q148" s="30">
        <f>IF(D148&gt;0,J148/D148,0)</f>
      </c>
    </row>
    <row r="149" spans="1:17" x14ac:dyDescent="0.25">
      <c r="A149" s="20" t="s">
        <v>190</v>
      </c>
      <c r="B149" s="20" t="s">
        <v>39</v>
      </c>
      <c r="C149" s="20" t="s">
        <v>245</v>
      </c>
      <c r="D149" s="22">
        <v>0</v>
      </c>
      <c r="E149" s="22">
        <v>0</v>
      </c>
      <c r="F149" s="22">
        <v>0</v>
      </c>
      <c r="G149" s="22">
        <v>0</v>
      </c>
      <c r="H149" s="22">
        <v>0</v>
      </c>
      <c r="I149" s="22">
        <v>0</v>
      </c>
      <c r="J149" s="22">
        <v>0</v>
      </c>
      <c r="K149" s="22">
        <v>0</v>
      </c>
      <c r="L149" s="28">
        <f>IF(D149=F149+H149+J149,"Correcto","Falso")</f>
      </c>
      <c r="M149" s="28">
        <f>IF(E149=G149+I149+K149,"Correcto","Falso")</f>
      </c>
      <c r="N149" s="29">
        <f>D149-(F149+H149+J149)</f>
      </c>
      <c r="O149" s="29">
        <f>E149-(G149+I149+K149)</f>
      </c>
      <c r="P149" s="30">
        <f>IF(D149&gt;0,F149/D149,0)</f>
      </c>
      <c r="Q149" s="30">
        <f>IF(D149&gt;0,J149/D149,0)</f>
      </c>
    </row>
    <row r="150" spans="1:17" x14ac:dyDescent="0.25">
      <c r="A150" s="20" t="s">
        <v>190</v>
      </c>
      <c r="B150" s="20" t="s">
        <v>39</v>
      </c>
      <c r="C150" s="20" t="s">
        <v>246</v>
      </c>
      <c r="D150" s="22">
        <v>0</v>
      </c>
      <c r="E150" s="22">
        <v>0</v>
      </c>
      <c r="F150" s="22">
        <v>0</v>
      </c>
      <c r="G150" s="22">
        <v>0</v>
      </c>
      <c r="H150" s="22">
        <v>0</v>
      </c>
      <c r="I150" s="22">
        <v>0</v>
      </c>
      <c r="J150" s="22">
        <v>0</v>
      </c>
      <c r="K150" s="22">
        <v>0</v>
      </c>
      <c r="L150" s="28">
        <f>IF(D150=F150+H150+J150,"Correcto","Falso")</f>
      </c>
      <c r="M150" s="28">
        <f>IF(E150=G150+I150+K150,"Correcto","Falso")</f>
      </c>
      <c r="N150" s="29">
        <f>D150-(F150+H150+J150)</f>
      </c>
      <c r="O150" s="29">
        <f>E150-(G150+I150+K150)</f>
      </c>
      <c r="P150" s="30">
        <f>IF(D150&gt;0,F150/D150,0)</f>
      </c>
      <c r="Q150" s="30">
        <f>IF(D150&gt;0,J150/D150,0)</f>
      </c>
    </row>
    <row r="151" spans="1:17" x14ac:dyDescent="0.25">
      <c r="A151" s="20" t="s">
        <v>190</v>
      </c>
      <c r="B151" s="20" t="s">
        <v>40</v>
      </c>
      <c r="C151" s="20" t="s">
        <v>239</v>
      </c>
      <c r="D151" s="22">
        <v>0</v>
      </c>
      <c r="E151" s="22">
        <v>0</v>
      </c>
      <c r="F151" s="22">
        <v>0</v>
      </c>
      <c r="G151" s="22">
        <v>0</v>
      </c>
      <c r="H151" s="22">
        <v>0</v>
      </c>
      <c r="I151" s="22">
        <v>0</v>
      </c>
      <c r="J151" s="22">
        <v>0</v>
      </c>
      <c r="K151" s="22">
        <v>0</v>
      </c>
      <c r="L151" s="28">
        <f>IF(D151=F151+H151+J151,"Correcto","Falso")</f>
      </c>
      <c r="M151" s="28">
        <f>IF(E151=G151+I151+K151,"Correcto","Falso")</f>
      </c>
      <c r="N151" s="29">
        <f>D151-(F151+H151+J151)</f>
      </c>
      <c r="O151" s="29">
        <f>E151-(G151+I151+K151)</f>
      </c>
      <c r="P151" s="30">
        <f>IF(D151&gt;0,F151/D151,0)</f>
      </c>
      <c r="Q151" s="30">
        <f>IF(D151&gt;0,J151/D151,0)</f>
      </c>
    </row>
    <row r="152" spans="1:17" x14ac:dyDescent="0.25">
      <c r="A152" s="20" t="s">
        <v>190</v>
      </c>
      <c r="B152" s="20" t="s">
        <v>40</v>
      </c>
      <c r="C152" s="20" t="s">
        <v>240</v>
      </c>
      <c r="D152" s="22">
        <v>0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  <c r="J152" s="22">
        <v>0</v>
      </c>
      <c r="K152" s="22">
        <v>0</v>
      </c>
      <c r="L152" s="28">
        <f>IF(D152=F152+H152+J152,"Correcto","Falso")</f>
      </c>
      <c r="M152" s="28">
        <f>IF(E152=G152+I152+K152,"Correcto","Falso")</f>
      </c>
      <c r="N152" s="29">
        <f>D152-(F152+H152+J152)</f>
      </c>
      <c r="O152" s="29">
        <f>E152-(G152+I152+K152)</f>
      </c>
      <c r="P152" s="30">
        <f>IF(D152&gt;0,F152/D152,0)</f>
      </c>
      <c r="Q152" s="30">
        <f>IF(D152&gt;0,J152/D152,0)</f>
      </c>
    </row>
    <row r="153" spans="1:17" x14ac:dyDescent="0.25">
      <c r="A153" s="20" t="s">
        <v>190</v>
      </c>
      <c r="B153" s="20" t="s">
        <v>40</v>
      </c>
      <c r="C153" s="20" t="s">
        <v>241</v>
      </c>
      <c r="D153" s="22">
        <v>0</v>
      </c>
      <c r="E153" s="22">
        <v>0</v>
      </c>
      <c r="F153" s="22">
        <v>0</v>
      </c>
      <c r="G153" s="22">
        <v>0</v>
      </c>
      <c r="H153" s="22">
        <v>0</v>
      </c>
      <c r="I153" s="22">
        <v>0</v>
      </c>
      <c r="J153" s="22">
        <v>0</v>
      </c>
      <c r="K153" s="22">
        <v>0</v>
      </c>
      <c r="L153" s="28">
        <f>IF(D153=F153+H153+J153,"Correcto","Falso")</f>
      </c>
      <c r="M153" s="28">
        <f>IF(E153=G153+I153+K153,"Correcto","Falso")</f>
      </c>
      <c r="N153" s="29">
        <f>D153-(F153+H153+J153)</f>
      </c>
      <c r="O153" s="29">
        <f>E153-(G153+I153+K153)</f>
      </c>
      <c r="P153" s="30">
        <f>IF(D153&gt;0,F153/D153,0)</f>
      </c>
      <c r="Q153" s="30">
        <f>IF(D153&gt;0,J153/D153,0)</f>
      </c>
    </row>
    <row r="154" spans="1:17" x14ac:dyDescent="0.25">
      <c r="A154" s="20" t="s">
        <v>190</v>
      </c>
      <c r="B154" s="20" t="s">
        <v>40</v>
      </c>
      <c r="C154" s="20" t="s">
        <v>242</v>
      </c>
      <c r="D154" s="22">
        <v>0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  <c r="J154" s="22">
        <v>0</v>
      </c>
      <c r="K154" s="22">
        <v>0</v>
      </c>
      <c r="L154" s="28">
        <f>IF(D154=F154+H154+J154,"Correcto","Falso")</f>
      </c>
      <c r="M154" s="28">
        <f>IF(E154=G154+I154+K154,"Correcto","Falso")</f>
      </c>
      <c r="N154" s="29">
        <f>D154-(F154+H154+J154)</f>
      </c>
      <c r="O154" s="29">
        <f>E154-(G154+I154+K154)</f>
      </c>
      <c r="P154" s="30">
        <f>IF(D154&gt;0,F154/D154,0)</f>
      </c>
      <c r="Q154" s="30">
        <f>IF(D154&gt;0,J154/D154,0)</f>
      </c>
    </row>
    <row r="155" spans="1:17" x14ac:dyDescent="0.25">
      <c r="A155" s="20" t="s">
        <v>190</v>
      </c>
      <c r="B155" s="20" t="s">
        <v>40</v>
      </c>
      <c r="C155" s="20" t="s">
        <v>243</v>
      </c>
      <c r="D155" s="22">
        <v>0</v>
      </c>
      <c r="E155" s="22">
        <v>0</v>
      </c>
      <c r="F155" s="22">
        <v>0</v>
      </c>
      <c r="G155" s="22">
        <v>0</v>
      </c>
      <c r="H155" s="22">
        <v>0</v>
      </c>
      <c r="I155" s="22">
        <v>0</v>
      </c>
      <c r="J155" s="22">
        <v>0</v>
      </c>
      <c r="K155" s="22">
        <v>0</v>
      </c>
      <c r="L155" s="28">
        <f>IF(D155=F155+H155+J155,"Correcto","Falso")</f>
      </c>
      <c r="M155" s="28">
        <f>IF(E155=G155+I155+K155,"Correcto","Falso")</f>
      </c>
      <c r="N155" s="29">
        <f>D155-(F155+H155+J155)</f>
      </c>
      <c r="O155" s="29">
        <f>E155-(G155+I155+K155)</f>
      </c>
      <c r="P155" s="30">
        <f>IF(D155&gt;0,F155/D155,0)</f>
      </c>
      <c r="Q155" s="30">
        <f>IF(D155&gt;0,J155/D155,0)</f>
      </c>
    </row>
    <row r="156" spans="1:17" x14ac:dyDescent="0.25">
      <c r="A156" s="20" t="s">
        <v>190</v>
      </c>
      <c r="B156" s="20" t="s">
        <v>40</v>
      </c>
      <c r="C156" s="20" t="s">
        <v>244</v>
      </c>
      <c r="D156" s="22">
        <v>0</v>
      </c>
      <c r="E156" s="22">
        <v>0</v>
      </c>
      <c r="F156" s="22">
        <v>0</v>
      </c>
      <c r="G156" s="22">
        <v>0</v>
      </c>
      <c r="H156" s="22">
        <v>0</v>
      </c>
      <c r="I156" s="22">
        <v>0</v>
      </c>
      <c r="J156" s="22">
        <v>0</v>
      </c>
      <c r="K156" s="22">
        <v>0</v>
      </c>
      <c r="L156" s="28">
        <f>IF(D156=F156+H156+J156,"Correcto","Falso")</f>
      </c>
      <c r="M156" s="28">
        <f>IF(E156=G156+I156+K156,"Correcto","Falso")</f>
      </c>
      <c r="N156" s="29">
        <f>D156-(F156+H156+J156)</f>
      </c>
      <c r="O156" s="29">
        <f>E156-(G156+I156+K156)</f>
      </c>
      <c r="P156" s="30">
        <f>IF(D156&gt;0,F156/D156,0)</f>
      </c>
      <c r="Q156" s="30">
        <f>IF(D156&gt;0,J156/D156,0)</f>
      </c>
    </row>
    <row r="157" spans="1:17" x14ac:dyDescent="0.25">
      <c r="A157" s="20" t="s">
        <v>190</v>
      </c>
      <c r="B157" s="20" t="s">
        <v>40</v>
      </c>
      <c r="C157" s="20" t="s">
        <v>245</v>
      </c>
      <c r="D157" s="22">
        <v>0</v>
      </c>
      <c r="E157" s="22">
        <v>0</v>
      </c>
      <c r="F157" s="22">
        <v>0</v>
      </c>
      <c r="G157" s="22">
        <v>0</v>
      </c>
      <c r="H157" s="22">
        <v>0</v>
      </c>
      <c r="I157" s="22">
        <v>0</v>
      </c>
      <c r="J157" s="22">
        <v>0</v>
      </c>
      <c r="K157" s="22">
        <v>0</v>
      </c>
      <c r="L157" s="28">
        <f>IF(D157=F157+H157+J157,"Correcto","Falso")</f>
      </c>
      <c r="M157" s="28">
        <f>IF(E157=G157+I157+K157,"Correcto","Falso")</f>
      </c>
      <c r="N157" s="29">
        <f>D157-(F157+H157+J157)</f>
      </c>
      <c r="O157" s="29">
        <f>E157-(G157+I157+K157)</f>
      </c>
      <c r="P157" s="30">
        <f>IF(D157&gt;0,F157/D157,0)</f>
      </c>
      <c r="Q157" s="30">
        <f>IF(D157&gt;0,J157/D157,0)</f>
      </c>
    </row>
    <row r="158" spans="1:17" x14ac:dyDescent="0.25">
      <c r="A158" s="20" t="s">
        <v>190</v>
      </c>
      <c r="B158" s="20" t="s">
        <v>40</v>
      </c>
      <c r="C158" s="20" t="s">
        <v>246</v>
      </c>
      <c r="D158" s="22">
        <v>0</v>
      </c>
      <c r="E158" s="22">
        <v>0</v>
      </c>
      <c r="F158" s="22">
        <v>0</v>
      </c>
      <c r="G158" s="22">
        <v>0</v>
      </c>
      <c r="H158" s="22">
        <v>0</v>
      </c>
      <c r="I158" s="22">
        <v>0</v>
      </c>
      <c r="J158" s="22">
        <v>0</v>
      </c>
      <c r="K158" s="22">
        <v>0</v>
      </c>
      <c r="L158" s="28">
        <f>IF(D158=F158+H158+J158,"Correcto","Falso")</f>
      </c>
      <c r="M158" s="28">
        <f>IF(E158=G158+I158+K158,"Correcto","Falso")</f>
      </c>
      <c r="N158" s="29">
        <f>D158-(F158+H158+J158)</f>
      </c>
      <c r="O158" s="29">
        <f>E158-(G158+I158+K158)</f>
      </c>
      <c r="P158" s="30">
        <f>IF(D158&gt;0,F158/D158,0)</f>
      </c>
      <c r="Q158" s="30">
        <f>IF(D158&gt;0,J158/D158,0)</f>
      </c>
    </row>
    <row r="159" spans="1:17" x14ac:dyDescent="0.25">
      <c r="A159" s="20" t="s">
        <v>190</v>
      </c>
      <c r="B159" s="20" t="s">
        <v>247</v>
      </c>
      <c r="C159" s="20" t="s">
        <v>239</v>
      </c>
      <c r="D159" s="22">
        <v>0</v>
      </c>
      <c r="E159" s="22">
        <v>0</v>
      </c>
      <c r="F159" s="22">
        <v>0</v>
      </c>
      <c r="G159" s="22">
        <v>0</v>
      </c>
      <c r="H159" s="22">
        <v>0</v>
      </c>
      <c r="I159" s="22">
        <v>0</v>
      </c>
      <c r="J159" s="22">
        <v>0</v>
      </c>
      <c r="K159" s="22">
        <v>0</v>
      </c>
      <c r="L159" s="28">
        <f>IF(D159=F159+H159+J159,"Correcto","Falso")</f>
      </c>
      <c r="M159" s="28">
        <f>IF(E159=G159+I159+K159,"Correcto","Falso")</f>
      </c>
      <c r="N159" s="29">
        <f>D159-(F159+H159+J159)</f>
      </c>
      <c r="O159" s="29">
        <f>E159-(G159+I159+K159)</f>
      </c>
      <c r="P159" s="30">
        <f>IF(D159&gt;0,F159/D159,0)</f>
      </c>
      <c r="Q159" s="30">
        <f>IF(D159&gt;0,J159/D159,0)</f>
      </c>
    </row>
    <row r="160" spans="1:17" x14ac:dyDescent="0.25">
      <c r="A160" s="20" t="s">
        <v>190</v>
      </c>
      <c r="B160" s="20" t="s">
        <v>247</v>
      </c>
      <c r="C160" s="20" t="s">
        <v>240</v>
      </c>
      <c r="D160" s="22">
        <v>0</v>
      </c>
      <c r="E160" s="22">
        <v>0</v>
      </c>
      <c r="F160" s="22">
        <v>0</v>
      </c>
      <c r="G160" s="22">
        <v>0</v>
      </c>
      <c r="H160" s="22">
        <v>0</v>
      </c>
      <c r="I160" s="22">
        <v>0</v>
      </c>
      <c r="J160" s="22">
        <v>0</v>
      </c>
      <c r="K160" s="22">
        <v>0</v>
      </c>
      <c r="L160" s="28">
        <f>IF(D160=F160+H160+J160,"Correcto","Falso")</f>
      </c>
      <c r="M160" s="28">
        <f>IF(E160=G160+I160+K160,"Correcto","Falso")</f>
      </c>
      <c r="N160" s="29">
        <f>D160-(F160+H160+J160)</f>
      </c>
      <c r="O160" s="29">
        <f>E160-(G160+I160+K160)</f>
      </c>
      <c r="P160" s="30">
        <f>IF(D160&gt;0,F160/D160,0)</f>
      </c>
      <c r="Q160" s="30">
        <f>IF(D160&gt;0,J160/D160,0)</f>
      </c>
    </row>
    <row r="161" spans="1:17" x14ac:dyDescent="0.25">
      <c r="A161" s="20" t="s">
        <v>190</v>
      </c>
      <c r="B161" s="20" t="s">
        <v>247</v>
      </c>
      <c r="C161" s="20" t="s">
        <v>241</v>
      </c>
      <c r="D161" s="22">
        <v>0</v>
      </c>
      <c r="E161" s="22">
        <v>0</v>
      </c>
      <c r="F161" s="22">
        <v>0</v>
      </c>
      <c r="G161" s="22">
        <v>0</v>
      </c>
      <c r="H161" s="22">
        <v>0</v>
      </c>
      <c r="I161" s="22">
        <v>0</v>
      </c>
      <c r="J161" s="22">
        <v>0</v>
      </c>
      <c r="K161" s="22">
        <v>0</v>
      </c>
      <c r="L161" s="28">
        <f>IF(D161=F161+H161+J161,"Correcto","Falso")</f>
      </c>
      <c r="M161" s="28">
        <f>IF(E161=G161+I161+K161,"Correcto","Falso")</f>
      </c>
      <c r="N161" s="29">
        <f>D161-(F161+H161+J161)</f>
      </c>
      <c r="O161" s="29">
        <f>E161-(G161+I161+K161)</f>
      </c>
      <c r="P161" s="30">
        <f>IF(D161&gt;0,F161/D161,0)</f>
      </c>
      <c r="Q161" s="30">
        <f>IF(D161&gt;0,J161/D161,0)</f>
      </c>
    </row>
    <row r="162" spans="1:17" x14ac:dyDescent="0.25">
      <c r="A162" s="20" t="s">
        <v>190</v>
      </c>
      <c r="B162" s="20" t="s">
        <v>247</v>
      </c>
      <c r="C162" s="20" t="s">
        <v>242</v>
      </c>
      <c r="D162" s="22">
        <v>0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  <c r="J162" s="22">
        <v>0</v>
      </c>
      <c r="K162" s="22">
        <v>0</v>
      </c>
      <c r="L162" s="28">
        <f>IF(D162=F162+H162+J162,"Correcto","Falso")</f>
      </c>
      <c r="M162" s="28">
        <f>IF(E162=G162+I162+K162,"Correcto","Falso")</f>
      </c>
      <c r="N162" s="29">
        <f>D162-(F162+H162+J162)</f>
      </c>
      <c r="O162" s="29">
        <f>E162-(G162+I162+K162)</f>
      </c>
      <c r="P162" s="30">
        <f>IF(D162&gt;0,F162/D162,0)</f>
      </c>
      <c r="Q162" s="30">
        <f>IF(D162&gt;0,J162/D162,0)</f>
      </c>
    </row>
    <row r="163" spans="1:17" x14ac:dyDescent="0.25">
      <c r="A163" s="20" t="s">
        <v>190</v>
      </c>
      <c r="B163" s="20" t="s">
        <v>247</v>
      </c>
      <c r="C163" s="20" t="s">
        <v>243</v>
      </c>
      <c r="D163" s="22">
        <v>0</v>
      </c>
      <c r="E163" s="22">
        <v>0</v>
      </c>
      <c r="F163" s="22">
        <v>0</v>
      </c>
      <c r="G163" s="22">
        <v>0</v>
      </c>
      <c r="H163" s="22">
        <v>0</v>
      </c>
      <c r="I163" s="22">
        <v>0</v>
      </c>
      <c r="J163" s="22">
        <v>0</v>
      </c>
      <c r="K163" s="22">
        <v>0</v>
      </c>
      <c r="L163" s="28">
        <f>IF(D163=F163+H163+J163,"Correcto","Falso")</f>
      </c>
      <c r="M163" s="28">
        <f>IF(E163=G163+I163+K163,"Correcto","Falso")</f>
      </c>
      <c r="N163" s="29">
        <f>D163-(F163+H163+J163)</f>
      </c>
      <c r="O163" s="29">
        <f>E163-(G163+I163+K163)</f>
      </c>
      <c r="P163" s="30">
        <f>IF(D163&gt;0,F163/D163,0)</f>
      </c>
      <c r="Q163" s="30">
        <f>IF(D163&gt;0,J163/D163,0)</f>
      </c>
    </row>
    <row r="164" spans="1:17" x14ac:dyDescent="0.25">
      <c r="A164" s="20" t="s">
        <v>190</v>
      </c>
      <c r="B164" s="20" t="s">
        <v>247</v>
      </c>
      <c r="C164" s="20" t="s">
        <v>244</v>
      </c>
      <c r="D164" s="22">
        <v>0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  <c r="J164" s="22">
        <v>0</v>
      </c>
      <c r="K164" s="22">
        <v>0</v>
      </c>
      <c r="L164" s="28">
        <f>IF(D164=F164+H164+J164,"Correcto","Falso")</f>
      </c>
      <c r="M164" s="28">
        <f>IF(E164=G164+I164+K164,"Correcto","Falso")</f>
      </c>
      <c r="N164" s="29">
        <f>D164-(F164+H164+J164)</f>
      </c>
      <c r="O164" s="29">
        <f>E164-(G164+I164+K164)</f>
      </c>
      <c r="P164" s="30">
        <f>IF(D164&gt;0,F164/D164,0)</f>
      </c>
      <c r="Q164" s="30">
        <f>IF(D164&gt;0,J164/D164,0)</f>
      </c>
    </row>
    <row r="165" spans="1:17" x14ac:dyDescent="0.25">
      <c r="A165" s="20" t="s">
        <v>190</v>
      </c>
      <c r="B165" s="20" t="s">
        <v>247</v>
      </c>
      <c r="C165" s="20" t="s">
        <v>245</v>
      </c>
      <c r="D165" s="22">
        <v>0</v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8">
        <f>IF(D165=F165+H165+J165,"Correcto","Falso")</f>
      </c>
      <c r="M165" s="28">
        <f>IF(E165=G165+I165+K165,"Correcto","Falso")</f>
      </c>
      <c r="N165" s="29">
        <f>D165-(F165+H165+J165)</f>
      </c>
      <c r="O165" s="29">
        <f>E165-(G165+I165+K165)</f>
      </c>
      <c r="P165" s="30">
        <f>IF(D165&gt;0,F165/D165,0)</f>
      </c>
      <c r="Q165" s="30">
        <f>IF(D165&gt;0,J165/D165,0)</f>
      </c>
    </row>
    <row r="166" spans="1:17" x14ac:dyDescent="0.25">
      <c r="A166" s="20" t="s">
        <v>190</v>
      </c>
      <c r="B166" s="20" t="s">
        <v>247</v>
      </c>
      <c r="C166" s="20" t="s">
        <v>246</v>
      </c>
      <c r="D166" s="22">
        <v>0</v>
      </c>
      <c r="E166" s="22">
        <v>0</v>
      </c>
      <c r="F166" s="22">
        <v>0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8">
        <f>IF(D166=F166+H166+J166,"Correcto","Falso")</f>
      </c>
      <c r="M166" s="28">
        <f>IF(E166=G166+I166+K166,"Correcto","Falso")</f>
      </c>
      <c r="N166" s="29">
        <f>D166-(F166+H166+J166)</f>
      </c>
      <c r="O166" s="29">
        <f>E166-(G166+I166+K166)</f>
      </c>
      <c r="P166" s="30">
        <f>IF(D166&gt;0,F166/D166,0)</f>
      </c>
      <c r="Q166" s="30">
        <f>IF(D166&gt;0,J166/D166,0)</f>
      </c>
    </row>
    <row r="167" spans="1:17" x14ac:dyDescent="0.25">
      <c r="A167" s="20" t="s">
        <v>190</v>
      </c>
      <c r="B167" s="20" t="s">
        <v>38</v>
      </c>
      <c r="C167" s="20" t="s">
        <v>248</v>
      </c>
      <c r="D167" s="22">
        <v>0</v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  <c r="J167" s="22">
        <v>0</v>
      </c>
      <c r="K167" s="22">
        <v>0</v>
      </c>
      <c r="L167" s="28">
        <f>IF(D167=F167+H167+J167,"Correcto","Falso")</f>
      </c>
      <c r="M167" s="28">
        <f>IF(E167=G167+I167+K167,"Correcto","Falso")</f>
      </c>
      <c r="N167" s="29">
        <f>D167-(F167+H167+J167)</f>
      </c>
      <c r="O167" s="29">
        <f>E167-(G167+I167+K167)</f>
      </c>
      <c r="P167" s="30">
        <f>IF(D167&gt;0,F167/D167,0)</f>
      </c>
      <c r="Q167" s="30">
        <f>IF(D167&gt;0,J167/D167,0)</f>
      </c>
    </row>
    <row r="168" spans="1:17" x14ac:dyDescent="0.25">
      <c r="A168" s="20" t="s">
        <v>190</v>
      </c>
      <c r="B168" s="20" t="s">
        <v>38</v>
      </c>
      <c r="C168" s="20" t="s">
        <v>249</v>
      </c>
      <c r="D168" s="22">
        <v>0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8">
        <f>IF(D168=F168+H168+J168,"Correcto","Falso")</f>
      </c>
      <c r="M168" s="28">
        <f>IF(E168=G168+I168+K168,"Correcto","Falso")</f>
      </c>
      <c r="N168" s="29">
        <f>D168-(F168+H168+J168)</f>
      </c>
      <c r="O168" s="29">
        <f>E168-(G168+I168+K168)</f>
      </c>
      <c r="P168" s="30">
        <f>IF(D168&gt;0,F168/D168,0)</f>
      </c>
      <c r="Q168" s="30">
        <f>IF(D168&gt;0,J168/D168,0)</f>
      </c>
    </row>
    <row r="169" spans="1:17" x14ac:dyDescent="0.25">
      <c r="A169" s="20" t="s">
        <v>190</v>
      </c>
      <c r="B169" s="20" t="s">
        <v>38</v>
      </c>
      <c r="C169" s="20" t="s">
        <v>250</v>
      </c>
      <c r="D169" s="22">
        <v>0</v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8">
        <f>IF(D169=F169+H169+J169,"Correcto","Falso")</f>
      </c>
      <c r="M169" s="28">
        <f>IF(E169=G169+I169+K169,"Correcto","Falso")</f>
      </c>
      <c r="N169" s="29">
        <f>D169-(F169+H169+J169)</f>
      </c>
      <c r="O169" s="29">
        <f>E169-(G169+I169+K169)</f>
      </c>
      <c r="P169" s="30">
        <f>IF(D169&gt;0,F169/D169,0)</f>
      </c>
      <c r="Q169" s="30">
        <f>IF(D169&gt;0,J169/D169,0)</f>
      </c>
    </row>
    <row r="170" spans="1:17" x14ac:dyDescent="0.25">
      <c r="A170" s="20" t="s">
        <v>190</v>
      </c>
      <c r="B170" s="20" t="s">
        <v>38</v>
      </c>
      <c r="C170" s="20" t="s">
        <v>251</v>
      </c>
      <c r="D170" s="22">
        <v>0</v>
      </c>
      <c r="E170" s="22">
        <v>0</v>
      </c>
      <c r="F170" s="22">
        <v>0</v>
      </c>
      <c r="G170" s="22">
        <v>0</v>
      </c>
      <c r="H170" s="22">
        <v>0</v>
      </c>
      <c r="I170" s="22">
        <v>0</v>
      </c>
      <c r="J170" s="22">
        <v>0</v>
      </c>
      <c r="K170" s="22">
        <v>0</v>
      </c>
      <c r="L170" s="28">
        <f>IF(D170=F170+H170+J170,"Correcto","Falso")</f>
      </c>
      <c r="M170" s="28">
        <f>IF(E170=G170+I170+K170,"Correcto","Falso")</f>
      </c>
      <c r="N170" s="29">
        <f>D170-(F170+H170+J170)</f>
      </c>
      <c r="O170" s="29">
        <f>E170-(G170+I170+K170)</f>
      </c>
      <c r="P170" s="30">
        <f>IF(D170&gt;0,F170/D170,0)</f>
      </c>
      <c r="Q170" s="30">
        <f>IF(D170&gt;0,J170/D170,0)</f>
      </c>
    </row>
    <row r="171" spans="1:17" x14ac:dyDescent="0.25">
      <c r="A171" s="20" t="s">
        <v>190</v>
      </c>
      <c r="B171" s="20" t="s">
        <v>38</v>
      </c>
      <c r="C171" s="20" t="s">
        <v>252</v>
      </c>
      <c r="D171" s="22">
        <v>0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8">
        <f>IF(D171=F171+H171+J171,"Correcto","Falso")</f>
      </c>
      <c r="M171" s="28">
        <f>IF(E171=G171+I171+K171,"Correcto","Falso")</f>
      </c>
      <c r="N171" s="29">
        <f>D171-(F171+H171+J171)</f>
      </c>
      <c r="O171" s="29">
        <f>E171-(G171+I171+K171)</f>
      </c>
      <c r="P171" s="30">
        <f>IF(D171&gt;0,F171/D171,0)</f>
      </c>
      <c r="Q171" s="30">
        <f>IF(D171&gt;0,J171/D171,0)</f>
      </c>
    </row>
    <row r="172" spans="1:17" x14ac:dyDescent="0.25">
      <c r="A172" s="20" t="s">
        <v>190</v>
      </c>
      <c r="B172" s="20" t="s">
        <v>38</v>
      </c>
      <c r="C172" s="20" t="s">
        <v>253</v>
      </c>
      <c r="D172" s="22">
        <v>0</v>
      </c>
      <c r="E172" s="22">
        <v>0</v>
      </c>
      <c r="F172" s="22">
        <v>0</v>
      </c>
      <c r="G172" s="22">
        <v>0</v>
      </c>
      <c r="H172" s="22">
        <v>0</v>
      </c>
      <c r="I172" s="22">
        <v>0</v>
      </c>
      <c r="J172" s="22">
        <v>0</v>
      </c>
      <c r="K172" s="22">
        <v>0</v>
      </c>
      <c r="L172" s="28">
        <f>IF(D172=F172+H172+J172,"Correcto","Falso")</f>
      </c>
      <c r="M172" s="28">
        <f>IF(E172=G172+I172+K172,"Correcto","Falso")</f>
      </c>
      <c r="N172" s="29">
        <f>D172-(F172+H172+J172)</f>
      </c>
      <c r="O172" s="29">
        <f>E172-(G172+I172+K172)</f>
      </c>
      <c r="P172" s="30">
        <f>IF(D172&gt;0,F172/D172,0)</f>
      </c>
      <c r="Q172" s="30">
        <f>IF(D172&gt;0,J172/D172,0)</f>
      </c>
    </row>
    <row r="173" spans="1:17" x14ac:dyDescent="0.25">
      <c r="A173" s="20" t="s">
        <v>190</v>
      </c>
      <c r="B173" s="20" t="s">
        <v>38</v>
      </c>
      <c r="C173" s="20" t="s">
        <v>254</v>
      </c>
      <c r="D173" s="22">
        <v>0</v>
      </c>
      <c r="E173" s="22">
        <v>0</v>
      </c>
      <c r="F173" s="22">
        <v>0</v>
      </c>
      <c r="G173" s="22">
        <v>0</v>
      </c>
      <c r="H173" s="22">
        <v>0</v>
      </c>
      <c r="I173" s="22">
        <v>0</v>
      </c>
      <c r="J173" s="22">
        <v>0</v>
      </c>
      <c r="K173" s="22">
        <v>0</v>
      </c>
      <c r="L173" s="28">
        <f>IF(D173=F173+H173+J173,"Correcto","Falso")</f>
      </c>
      <c r="M173" s="28">
        <f>IF(E173=G173+I173+K173,"Correcto","Falso")</f>
      </c>
      <c r="N173" s="29">
        <f>D173-(F173+H173+J173)</f>
      </c>
      <c r="O173" s="29">
        <f>E173-(G173+I173+K173)</f>
      </c>
      <c r="P173" s="30">
        <f>IF(D173&gt;0,F173/D173,0)</f>
      </c>
      <c r="Q173" s="30">
        <f>IF(D173&gt;0,J173/D173,0)</f>
      </c>
    </row>
    <row r="174" spans="1:17" x14ac:dyDescent="0.25">
      <c r="A174" s="20" t="s">
        <v>190</v>
      </c>
      <c r="B174" s="20" t="s">
        <v>38</v>
      </c>
      <c r="C174" s="20" t="s">
        <v>255</v>
      </c>
      <c r="D174" s="22">
        <v>0</v>
      </c>
      <c r="E174" s="22">
        <v>0</v>
      </c>
      <c r="F174" s="22">
        <v>0</v>
      </c>
      <c r="G174" s="22">
        <v>0</v>
      </c>
      <c r="H174" s="22">
        <v>0</v>
      </c>
      <c r="I174" s="22">
        <v>0</v>
      </c>
      <c r="J174" s="22">
        <v>0</v>
      </c>
      <c r="K174" s="22">
        <v>0</v>
      </c>
      <c r="L174" s="28">
        <f>IF(D174=F174+H174+J174,"Correcto","Falso")</f>
      </c>
      <c r="M174" s="28">
        <f>IF(E174=G174+I174+K174,"Correcto","Falso")</f>
      </c>
      <c r="N174" s="29">
        <f>D174-(F174+H174+J174)</f>
      </c>
      <c r="O174" s="29">
        <f>E174-(G174+I174+K174)</f>
      </c>
      <c r="P174" s="30">
        <f>IF(D174&gt;0,F174/D174,0)</f>
      </c>
      <c r="Q174" s="30">
        <f>IF(D174&gt;0,J174/D174,0)</f>
      </c>
    </row>
    <row r="175" spans="1:17" x14ac:dyDescent="0.25">
      <c r="A175" s="20" t="s">
        <v>190</v>
      </c>
      <c r="B175" s="20" t="s">
        <v>39</v>
      </c>
      <c r="C175" s="20" t="s">
        <v>248</v>
      </c>
      <c r="D175" s="22">
        <v>0</v>
      </c>
      <c r="E175" s="22">
        <v>0</v>
      </c>
      <c r="F175" s="22">
        <v>0</v>
      </c>
      <c r="G175" s="22">
        <v>0</v>
      </c>
      <c r="H175" s="22">
        <v>0</v>
      </c>
      <c r="I175" s="22">
        <v>0</v>
      </c>
      <c r="J175" s="22">
        <v>0</v>
      </c>
      <c r="K175" s="22">
        <v>0</v>
      </c>
      <c r="L175" s="28">
        <f>IF(D175=F175+H175+J175,"Correcto","Falso")</f>
      </c>
      <c r="M175" s="28">
        <f>IF(E175=G175+I175+K175,"Correcto","Falso")</f>
      </c>
      <c r="N175" s="29">
        <f>D175-(F175+H175+J175)</f>
      </c>
      <c r="O175" s="29">
        <f>E175-(G175+I175+K175)</f>
      </c>
      <c r="P175" s="30">
        <f>IF(D175&gt;0,F175/D175,0)</f>
      </c>
      <c r="Q175" s="30">
        <f>IF(D175&gt;0,J175/D175,0)</f>
      </c>
    </row>
    <row r="176" spans="1:17" x14ac:dyDescent="0.25">
      <c r="A176" s="20" t="s">
        <v>190</v>
      </c>
      <c r="B176" s="20" t="s">
        <v>39</v>
      </c>
      <c r="C176" s="20" t="s">
        <v>249</v>
      </c>
      <c r="D176" s="22">
        <v>0</v>
      </c>
      <c r="E176" s="22">
        <v>0</v>
      </c>
      <c r="F176" s="22">
        <v>0</v>
      </c>
      <c r="G176" s="22">
        <v>0</v>
      </c>
      <c r="H176" s="22">
        <v>0</v>
      </c>
      <c r="I176" s="22">
        <v>0</v>
      </c>
      <c r="J176" s="22">
        <v>0</v>
      </c>
      <c r="K176" s="22">
        <v>0</v>
      </c>
      <c r="L176" s="28">
        <f>IF(D176=F176+H176+J176,"Correcto","Falso")</f>
      </c>
      <c r="M176" s="28">
        <f>IF(E176=G176+I176+K176,"Correcto","Falso")</f>
      </c>
      <c r="N176" s="29">
        <f>D176-(F176+H176+J176)</f>
      </c>
      <c r="O176" s="29">
        <f>E176-(G176+I176+K176)</f>
      </c>
      <c r="P176" s="30">
        <f>IF(D176&gt;0,F176/D176,0)</f>
      </c>
      <c r="Q176" s="30">
        <f>IF(D176&gt;0,J176/D176,0)</f>
      </c>
    </row>
    <row r="177" spans="1:17" x14ac:dyDescent="0.25">
      <c r="A177" s="20" t="s">
        <v>190</v>
      </c>
      <c r="B177" s="20" t="s">
        <v>39</v>
      </c>
      <c r="C177" s="20" t="s">
        <v>250</v>
      </c>
      <c r="D177" s="22">
        <v>0</v>
      </c>
      <c r="E177" s="22">
        <v>0</v>
      </c>
      <c r="F177" s="22">
        <v>0</v>
      </c>
      <c r="G177" s="22">
        <v>0</v>
      </c>
      <c r="H177" s="22">
        <v>0</v>
      </c>
      <c r="I177" s="22">
        <v>0</v>
      </c>
      <c r="J177" s="22">
        <v>0</v>
      </c>
      <c r="K177" s="22">
        <v>0</v>
      </c>
      <c r="L177" s="28">
        <f>IF(D177=F177+H177+J177,"Correcto","Falso")</f>
      </c>
      <c r="M177" s="28">
        <f>IF(E177=G177+I177+K177,"Correcto","Falso")</f>
      </c>
      <c r="N177" s="29">
        <f>D177-(F177+H177+J177)</f>
      </c>
      <c r="O177" s="29">
        <f>E177-(G177+I177+K177)</f>
      </c>
      <c r="P177" s="30">
        <f>IF(D177&gt;0,F177/D177,0)</f>
      </c>
      <c r="Q177" s="30">
        <f>IF(D177&gt;0,J177/D177,0)</f>
      </c>
    </row>
    <row r="178" spans="1:17" x14ac:dyDescent="0.25">
      <c r="A178" s="20" t="s">
        <v>190</v>
      </c>
      <c r="B178" s="20" t="s">
        <v>39</v>
      </c>
      <c r="C178" s="20" t="s">
        <v>251</v>
      </c>
      <c r="D178" s="22">
        <v>0</v>
      </c>
      <c r="E178" s="22">
        <v>0</v>
      </c>
      <c r="F178" s="22">
        <v>0</v>
      </c>
      <c r="G178" s="22">
        <v>0</v>
      </c>
      <c r="H178" s="22">
        <v>0</v>
      </c>
      <c r="I178" s="22">
        <v>0</v>
      </c>
      <c r="J178" s="22">
        <v>0</v>
      </c>
      <c r="K178" s="22">
        <v>0</v>
      </c>
      <c r="L178" s="28">
        <f>IF(D178=F178+H178+J178,"Correcto","Falso")</f>
      </c>
      <c r="M178" s="28">
        <f>IF(E178=G178+I178+K178,"Correcto","Falso")</f>
      </c>
      <c r="N178" s="29">
        <f>D178-(F178+H178+J178)</f>
      </c>
      <c r="O178" s="29">
        <f>E178-(G178+I178+K178)</f>
      </c>
      <c r="P178" s="30">
        <f>IF(D178&gt;0,F178/D178,0)</f>
      </c>
      <c r="Q178" s="30">
        <f>IF(D178&gt;0,J178/D178,0)</f>
      </c>
    </row>
    <row r="179" spans="1:17" x14ac:dyDescent="0.25">
      <c r="A179" s="20" t="s">
        <v>190</v>
      </c>
      <c r="B179" s="20" t="s">
        <v>39</v>
      </c>
      <c r="C179" s="20" t="s">
        <v>252</v>
      </c>
      <c r="D179" s="22">
        <v>0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  <c r="J179" s="22">
        <v>0</v>
      </c>
      <c r="K179" s="22">
        <v>0</v>
      </c>
      <c r="L179" s="28">
        <f>IF(D179=F179+H179+J179,"Correcto","Falso")</f>
      </c>
      <c r="M179" s="28">
        <f>IF(E179=G179+I179+K179,"Correcto","Falso")</f>
      </c>
      <c r="N179" s="29">
        <f>D179-(F179+H179+J179)</f>
      </c>
      <c r="O179" s="29">
        <f>E179-(G179+I179+K179)</f>
      </c>
      <c r="P179" s="30">
        <f>IF(D179&gt;0,F179/D179,0)</f>
      </c>
      <c r="Q179" s="30">
        <f>IF(D179&gt;0,J179/D179,0)</f>
      </c>
    </row>
    <row r="180" spans="1:17" x14ac:dyDescent="0.25">
      <c r="A180" s="20" t="s">
        <v>190</v>
      </c>
      <c r="B180" s="20" t="s">
        <v>39</v>
      </c>
      <c r="C180" s="20" t="s">
        <v>253</v>
      </c>
      <c r="D180" s="22">
        <v>0</v>
      </c>
      <c r="E180" s="22">
        <v>0</v>
      </c>
      <c r="F180" s="22">
        <v>0</v>
      </c>
      <c r="G180" s="22">
        <v>0</v>
      </c>
      <c r="H180" s="22">
        <v>0</v>
      </c>
      <c r="I180" s="22">
        <v>0</v>
      </c>
      <c r="J180" s="22">
        <v>0</v>
      </c>
      <c r="K180" s="22">
        <v>0</v>
      </c>
      <c r="L180" s="28">
        <f>IF(D180=F180+H180+J180,"Correcto","Falso")</f>
      </c>
      <c r="M180" s="28">
        <f>IF(E180=G180+I180+K180,"Correcto","Falso")</f>
      </c>
      <c r="N180" s="29">
        <f>D180-(F180+H180+J180)</f>
      </c>
      <c r="O180" s="29">
        <f>E180-(G180+I180+K180)</f>
      </c>
      <c r="P180" s="30">
        <f>IF(D180&gt;0,F180/D180,0)</f>
      </c>
      <c r="Q180" s="30">
        <f>IF(D180&gt;0,J180/D180,0)</f>
      </c>
    </row>
    <row r="181" spans="1:17" x14ac:dyDescent="0.25">
      <c r="A181" s="20" t="s">
        <v>190</v>
      </c>
      <c r="B181" s="20" t="s">
        <v>39</v>
      </c>
      <c r="C181" s="20" t="s">
        <v>254</v>
      </c>
      <c r="D181" s="22">
        <v>0</v>
      </c>
      <c r="E181" s="22">
        <v>0</v>
      </c>
      <c r="F181" s="22">
        <v>0</v>
      </c>
      <c r="G181" s="22">
        <v>0</v>
      </c>
      <c r="H181" s="22">
        <v>0</v>
      </c>
      <c r="I181" s="22">
        <v>0</v>
      </c>
      <c r="J181" s="22">
        <v>0</v>
      </c>
      <c r="K181" s="22">
        <v>0</v>
      </c>
      <c r="L181" s="28">
        <f>IF(D181=F181+H181+J181,"Correcto","Falso")</f>
      </c>
      <c r="M181" s="28">
        <f>IF(E181=G181+I181+K181,"Correcto","Falso")</f>
      </c>
      <c r="N181" s="29">
        <f>D181-(F181+H181+J181)</f>
      </c>
      <c r="O181" s="29">
        <f>E181-(G181+I181+K181)</f>
      </c>
      <c r="P181" s="30">
        <f>IF(D181&gt;0,F181/D181,0)</f>
      </c>
      <c r="Q181" s="30">
        <f>IF(D181&gt;0,J181/D181,0)</f>
      </c>
    </row>
    <row r="182" spans="1:17" x14ac:dyDescent="0.25">
      <c r="A182" s="20" t="s">
        <v>190</v>
      </c>
      <c r="B182" s="20" t="s">
        <v>39</v>
      </c>
      <c r="C182" s="20" t="s">
        <v>255</v>
      </c>
      <c r="D182" s="22">
        <v>0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  <c r="J182" s="22">
        <v>0</v>
      </c>
      <c r="K182" s="22">
        <v>0</v>
      </c>
      <c r="L182" s="28">
        <f>IF(D182=F182+H182+J182,"Correcto","Falso")</f>
      </c>
      <c r="M182" s="28">
        <f>IF(E182=G182+I182+K182,"Correcto","Falso")</f>
      </c>
      <c r="N182" s="29">
        <f>D182-(F182+H182+J182)</f>
      </c>
      <c r="O182" s="29">
        <f>E182-(G182+I182+K182)</f>
      </c>
      <c r="P182" s="30">
        <f>IF(D182&gt;0,F182/D182,0)</f>
      </c>
      <c r="Q182" s="30">
        <f>IF(D182&gt;0,J182/D182,0)</f>
      </c>
    </row>
    <row r="183" spans="1:17" x14ac:dyDescent="0.25">
      <c r="A183" s="20" t="s">
        <v>190</v>
      </c>
      <c r="B183" s="20" t="s">
        <v>40</v>
      </c>
      <c r="C183" s="20" t="s">
        <v>248</v>
      </c>
      <c r="D183" s="22">
        <v>0</v>
      </c>
      <c r="E183" s="22">
        <v>0</v>
      </c>
      <c r="F183" s="22">
        <v>0</v>
      </c>
      <c r="G183" s="22">
        <v>0</v>
      </c>
      <c r="H183" s="22">
        <v>0</v>
      </c>
      <c r="I183" s="22">
        <v>0</v>
      </c>
      <c r="J183" s="22">
        <v>0</v>
      </c>
      <c r="K183" s="22">
        <v>0</v>
      </c>
      <c r="L183" s="28">
        <f>IF(D183=F183+H183+J183,"Correcto","Falso")</f>
      </c>
      <c r="M183" s="28">
        <f>IF(E183=G183+I183+K183,"Correcto","Falso")</f>
      </c>
      <c r="N183" s="29">
        <f>D183-(F183+H183+J183)</f>
      </c>
      <c r="O183" s="29">
        <f>E183-(G183+I183+K183)</f>
      </c>
      <c r="P183" s="30">
        <f>IF(D183&gt;0,F183/D183,0)</f>
      </c>
      <c r="Q183" s="30">
        <f>IF(D183&gt;0,J183/D183,0)</f>
      </c>
    </row>
    <row r="184" spans="1:17" x14ac:dyDescent="0.25">
      <c r="A184" s="20" t="s">
        <v>190</v>
      </c>
      <c r="B184" s="20" t="s">
        <v>40</v>
      </c>
      <c r="C184" s="20" t="s">
        <v>249</v>
      </c>
      <c r="D184" s="22">
        <v>0</v>
      </c>
      <c r="E184" s="22">
        <v>0</v>
      </c>
      <c r="F184" s="22">
        <v>0</v>
      </c>
      <c r="G184" s="22">
        <v>0</v>
      </c>
      <c r="H184" s="22">
        <v>0</v>
      </c>
      <c r="I184" s="22">
        <v>0</v>
      </c>
      <c r="J184" s="22">
        <v>0</v>
      </c>
      <c r="K184" s="22">
        <v>0</v>
      </c>
      <c r="L184" s="28">
        <f>IF(D184=F184+H184+J184,"Correcto","Falso")</f>
      </c>
      <c r="M184" s="28">
        <f>IF(E184=G184+I184+K184,"Correcto","Falso")</f>
      </c>
      <c r="N184" s="29">
        <f>D184-(F184+H184+J184)</f>
      </c>
      <c r="O184" s="29">
        <f>E184-(G184+I184+K184)</f>
      </c>
      <c r="P184" s="30">
        <f>IF(D184&gt;0,F184/D184,0)</f>
      </c>
      <c r="Q184" s="30">
        <f>IF(D184&gt;0,J184/D184,0)</f>
      </c>
    </row>
    <row r="185" spans="1:17" x14ac:dyDescent="0.25">
      <c r="A185" s="20" t="s">
        <v>190</v>
      </c>
      <c r="B185" s="20" t="s">
        <v>40</v>
      </c>
      <c r="C185" s="20" t="s">
        <v>250</v>
      </c>
      <c r="D185" s="22">
        <v>0</v>
      </c>
      <c r="E185" s="22">
        <v>0</v>
      </c>
      <c r="F185" s="22">
        <v>0</v>
      </c>
      <c r="G185" s="22">
        <v>0</v>
      </c>
      <c r="H185" s="22">
        <v>0</v>
      </c>
      <c r="I185" s="22">
        <v>0</v>
      </c>
      <c r="J185" s="22">
        <v>0</v>
      </c>
      <c r="K185" s="22">
        <v>0</v>
      </c>
      <c r="L185" s="28">
        <f>IF(D185=F185+H185+J185,"Correcto","Falso")</f>
      </c>
      <c r="M185" s="28">
        <f>IF(E185=G185+I185+K185,"Correcto","Falso")</f>
      </c>
      <c r="N185" s="29">
        <f>D185-(F185+H185+J185)</f>
      </c>
      <c r="O185" s="29">
        <f>E185-(G185+I185+K185)</f>
      </c>
      <c r="P185" s="30">
        <f>IF(D185&gt;0,F185/D185,0)</f>
      </c>
      <c r="Q185" s="30">
        <f>IF(D185&gt;0,J185/D185,0)</f>
      </c>
    </row>
    <row r="186" spans="1:17" x14ac:dyDescent="0.25">
      <c r="A186" s="20" t="s">
        <v>190</v>
      </c>
      <c r="B186" s="20" t="s">
        <v>40</v>
      </c>
      <c r="C186" s="20" t="s">
        <v>251</v>
      </c>
      <c r="D186" s="22">
        <v>0</v>
      </c>
      <c r="E186" s="22">
        <v>0</v>
      </c>
      <c r="F186" s="22">
        <v>0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8">
        <f>IF(D186=F186+H186+J186,"Correcto","Falso")</f>
      </c>
      <c r="M186" s="28">
        <f>IF(E186=G186+I186+K186,"Correcto","Falso")</f>
      </c>
      <c r="N186" s="29">
        <f>D186-(F186+H186+J186)</f>
      </c>
      <c r="O186" s="29">
        <f>E186-(G186+I186+K186)</f>
      </c>
      <c r="P186" s="30">
        <f>IF(D186&gt;0,F186/D186,0)</f>
      </c>
      <c r="Q186" s="30">
        <f>IF(D186&gt;0,J186/D186,0)</f>
      </c>
    </row>
    <row r="187" spans="1:17" x14ac:dyDescent="0.25">
      <c r="A187" s="20" t="s">
        <v>190</v>
      </c>
      <c r="B187" s="20" t="s">
        <v>40</v>
      </c>
      <c r="C187" s="20" t="s">
        <v>252</v>
      </c>
      <c r="D187" s="22">
        <v>0</v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  <c r="J187" s="22">
        <v>0</v>
      </c>
      <c r="K187" s="22">
        <v>0</v>
      </c>
      <c r="L187" s="28">
        <f>IF(D187=F187+H187+J187,"Correcto","Falso")</f>
      </c>
      <c r="M187" s="28">
        <f>IF(E187=G187+I187+K187,"Correcto","Falso")</f>
      </c>
      <c r="N187" s="29">
        <f>D187-(F187+H187+J187)</f>
      </c>
      <c r="O187" s="29">
        <f>E187-(G187+I187+K187)</f>
      </c>
      <c r="P187" s="30">
        <f>IF(D187&gt;0,F187/D187,0)</f>
      </c>
      <c r="Q187" s="30">
        <f>IF(D187&gt;0,J187/D187,0)</f>
      </c>
    </row>
    <row r="188" spans="1:17" x14ac:dyDescent="0.25">
      <c r="A188" s="20" t="s">
        <v>190</v>
      </c>
      <c r="B188" s="20" t="s">
        <v>40</v>
      </c>
      <c r="C188" s="20" t="s">
        <v>253</v>
      </c>
      <c r="D188" s="22">
        <v>0</v>
      </c>
      <c r="E188" s="22">
        <v>0</v>
      </c>
      <c r="F188" s="22">
        <v>0</v>
      </c>
      <c r="G188" s="22">
        <v>0</v>
      </c>
      <c r="H188" s="22">
        <v>0</v>
      </c>
      <c r="I188" s="22">
        <v>0</v>
      </c>
      <c r="J188" s="22">
        <v>0</v>
      </c>
      <c r="K188" s="22">
        <v>0</v>
      </c>
      <c r="L188" s="28">
        <f>IF(D188=F188+H188+J188,"Correcto","Falso")</f>
      </c>
      <c r="M188" s="28">
        <f>IF(E188=G188+I188+K188,"Correcto","Falso")</f>
      </c>
      <c r="N188" s="29">
        <f>D188-(F188+H188+J188)</f>
      </c>
      <c r="O188" s="29">
        <f>E188-(G188+I188+K188)</f>
      </c>
      <c r="P188" s="30">
        <f>IF(D188&gt;0,F188/D188,0)</f>
      </c>
      <c r="Q188" s="30">
        <f>IF(D188&gt;0,J188/D188,0)</f>
      </c>
    </row>
    <row r="189" spans="1:17" x14ac:dyDescent="0.25">
      <c r="A189" s="20" t="s">
        <v>190</v>
      </c>
      <c r="B189" s="20" t="s">
        <v>40</v>
      </c>
      <c r="C189" s="20" t="s">
        <v>254</v>
      </c>
      <c r="D189" s="22">
        <v>0</v>
      </c>
      <c r="E189" s="22">
        <v>0</v>
      </c>
      <c r="F189" s="22">
        <v>0</v>
      </c>
      <c r="G189" s="22">
        <v>0</v>
      </c>
      <c r="H189" s="22">
        <v>0</v>
      </c>
      <c r="I189" s="22">
        <v>0</v>
      </c>
      <c r="J189" s="22">
        <v>0</v>
      </c>
      <c r="K189" s="22">
        <v>0</v>
      </c>
      <c r="L189" s="28">
        <f>IF(D189=F189+H189+J189,"Correcto","Falso")</f>
      </c>
      <c r="M189" s="28">
        <f>IF(E189=G189+I189+K189,"Correcto","Falso")</f>
      </c>
      <c r="N189" s="29">
        <f>D189-(F189+H189+J189)</f>
      </c>
      <c r="O189" s="29">
        <f>E189-(G189+I189+K189)</f>
      </c>
      <c r="P189" s="30">
        <f>IF(D189&gt;0,F189/D189,0)</f>
      </c>
      <c r="Q189" s="30">
        <f>IF(D189&gt;0,J189/D189,0)</f>
      </c>
    </row>
    <row r="190" spans="1:17" x14ac:dyDescent="0.25">
      <c r="A190" s="20" t="s">
        <v>190</v>
      </c>
      <c r="B190" s="20" t="s">
        <v>40</v>
      </c>
      <c r="C190" s="20" t="s">
        <v>255</v>
      </c>
      <c r="D190" s="22">
        <v>0</v>
      </c>
      <c r="E190" s="22">
        <v>0</v>
      </c>
      <c r="F190" s="22">
        <v>0</v>
      </c>
      <c r="G190" s="22">
        <v>0</v>
      </c>
      <c r="H190" s="22">
        <v>0</v>
      </c>
      <c r="I190" s="22">
        <v>0</v>
      </c>
      <c r="J190" s="22">
        <v>0</v>
      </c>
      <c r="K190" s="22">
        <v>0</v>
      </c>
      <c r="L190" s="28">
        <f>IF(D190=F190+H190+J190,"Correcto","Falso")</f>
      </c>
      <c r="M190" s="28">
        <f>IF(E190=G190+I190+K190,"Correcto","Falso")</f>
      </c>
      <c r="N190" s="29">
        <f>D190-(F190+H190+J190)</f>
      </c>
      <c r="O190" s="29">
        <f>E190-(G190+I190+K190)</f>
      </c>
      <c r="P190" s="30">
        <f>IF(D190&gt;0,F190/D190,0)</f>
      </c>
      <c r="Q190" s="30">
        <f>IF(D190&gt;0,J190/D190,0)</f>
      </c>
    </row>
    <row r="191" spans="1:17" x14ac:dyDescent="0.25">
      <c r="A191" s="20" t="s">
        <v>190</v>
      </c>
      <c r="B191" s="20" t="s">
        <v>247</v>
      </c>
      <c r="C191" s="20" t="s">
        <v>248</v>
      </c>
      <c r="D191" s="22">
        <v>0</v>
      </c>
      <c r="E191" s="22">
        <v>0</v>
      </c>
      <c r="F191" s="22">
        <v>0</v>
      </c>
      <c r="G191" s="22">
        <v>0</v>
      </c>
      <c r="H191" s="22">
        <v>0</v>
      </c>
      <c r="I191" s="22">
        <v>0</v>
      </c>
      <c r="J191" s="22">
        <v>0</v>
      </c>
      <c r="K191" s="22">
        <v>0</v>
      </c>
      <c r="L191" s="28">
        <f>IF(D191=F191+H191+J191,"Correcto","Falso")</f>
      </c>
      <c r="M191" s="28">
        <f>IF(E191=G191+I191+K191,"Correcto","Falso")</f>
      </c>
      <c r="N191" s="29">
        <f>D191-(F191+H191+J191)</f>
      </c>
      <c r="O191" s="29">
        <f>E191-(G191+I191+K191)</f>
      </c>
      <c r="P191" s="30">
        <f>IF(D191&gt;0,F191/D191,0)</f>
      </c>
      <c r="Q191" s="30">
        <f>IF(D191&gt;0,J191/D191,0)</f>
      </c>
    </row>
    <row r="192" spans="1:17" x14ac:dyDescent="0.25">
      <c r="A192" s="20" t="s">
        <v>190</v>
      </c>
      <c r="B192" s="20" t="s">
        <v>247</v>
      </c>
      <c r="C192" s="20" t="s">
        <v>249</v>
      </c>
      <c r="D192" s="22">
        <v>0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  <c r="J192" s="22">
        <v>0</v>
      </c>
      <c r="K192" s="22">
        <v>0</v>
      </c>
      <c r="L192" s="28">
        <f>IF(D192=F192+H192+J192,"Correcto","Falso")</f>
      </c>
      <c r="M192" s="28">
        <f>IF(E192=G192+I192+K192,"Correcto","Falso")</f>
      </c>
      <c r="N192" s="29">
        <f>D192-(F192+H192+J192)</f>
      </c>
      <c r="O192" s="29">
        <f>E192-(G192+I192+K192)</f>
      </c>
      <c r="P192" s="30">
        <f>IF(D192&gt;0,F192/D192,0)</f>
      </c>
      <c r="Q192" s="30">
        <f>IF(D192&gt;0,J192/D192,0)</f>
      </c>
    </row>
    <row r="193" spans="1:17" x14ac:dyDescent="0.25">
      <c r="A193" s="20" t="s">
        <v>190</v>
      </c>
      <c r="B193" s="20" t="s">
        <v>247</v>
      </c>
      <c r="C193" s="20" t="s">
        <v>250</v>
      </c>
      <c r="D193" s="22">
        <v>0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  <c r="J193" s="22">
        <v>0</v>
      </c>
      <c r="K193" s="22">
        <v>0</v>
      </c>
      <c r="L193" s="28">
        <f>IF(D193=F193+H193+J193,"Correcto","Falso")</f>
      </c>
      <c r="M193" s="28">
        <f>IF(E193=G193+I193+K193,"Correcto","Falso")</f>
      </c>
      <c r="N193" s="29">
        <f>D193-(F193+H193+J193)</f>
      </c>
      <c r="O193" s="29">
        <f>E193-(G193+I193+K193)</f>
      </c>
      <c r="P193" s="30">
        <f>IF(D193&gt;0,F193/D193,0)</f>
      </c>
      <c r="Q193" s="30">
        <f>IF(D193&gt;0,J193/D193,0)</f>
      </c>
    </row>
    <row r="194" spans="1:17" x14ac:dyDescent="0.25">
      <c r="A194" s="20" t="s">
        <v>190</v>
      </c>
      <c r="B194" s="20" t="s">
        <v>247</v>
      </c>
      <c r="C194" s="20" t="s">
        <v>251</v>
      </c>
      <c r="D194" s="22">
        <v>0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  <c r="J194" s="22">
        <v>0</v>
      </c>
      <c r="K194" s="22">
        <v>0</v>
      </c>
      <c r="L194" s="28">
        <f>IF(D194=F194+H194+J194,"Correcto","Falso")</f>
      </c>
      <c r="M194" s="28">
        <f>IF(E194=G194+I194+K194,"Correcto","Falso")</f>
      </c>
      <c r="N194" s="29">
        <f>D194-(F194+H194+J194)</f>
      </c>
      <c r="O194" s="29">
        <f>E194-(G194+I194+K194)</f>
      </c>
      <c r="P194" s="30">
        <f>IF(D194&gt;0,F194/D194,0)</f>
      </c>
      <c r="Q194" s="30">
        <f>IF(D194&gt;0,J194/D194,0)</f>
      </c>
    </row>
    <row r="195" spans="1:17" x14ac:dyDescent="0.25">
      <c r="A195" s="20" t="s">
        <v>190</v>
      </c>
      <c r="B195" s="20" t="s">
        <v>247</v>
      </c>
      <c r="C195" s="20" t="s">
        <v>252</v>
      </c>
      <c r="D195" s="22">
        <v>0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  <c r="J195" s="22">
        <v>0</v>
      </c>
      <c r="K195" s="22">
        <v>0</v>
      </c>
      <c r="L195" s="28">
        <f>IF(D195=F195+H195+J195,"Correcto","Falso")</f>
      </c>
      <c r="M195" s="28">
        <f>IF(E195=G195+I195+K195,"Correcto","Falso")</f>
      </c>
      <c r="N195" s="29">
        <f>D195-(F195+H195+J195)</f>
      </c>
      <c r="O195" s="29">
        <f>E195-(G195+I195+K195)</f>
      </c>
      <c r="P195" s="30">
        <f>IF(D195&gt;0,F195/D195,0)</f>
      </c>
      <c r="Q195" s="30">
        <f>IF(D195&gt;0,J195/D195,0)</f>
      </c>
    </row>
    <row r="196" spans="1:17" x14ac:dyDescent="0.25">
      <c r="A196" s="20" t="s">
        <v>190</v>
      </c>
      <c r="B196" s="20" t="s">
        <v>247</v>
      </c>
      <c r="C196" s="20" t="s">
        <v>253</v>
      </c>
      <c r="D196" s="22">
        <v>0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  <c r="J196" s="22">
        <v>0</v>
      </c>
      <c r="K196" s="22">
        <v>0</v>
      </c>
      <c r="L196" s="28">
        <f>IF(D196=F196+H196+J196,"Correcto","Falso")</f>
      </c>
      <c r="M196" s="28">
        <f>IF(E196=G196+I196+K196,"Correcto","Falso")</f>
      </c>
      <c r="N196" s="29">
        <f>D196-(F196+H196+J196)</f>
      </c>
      <c r="O196" s="29">
        <f>E196-(G196+I196+K196)</f>
      </c>
      <c r="P196" s="30">
        <f>IF(D196&gt;0,F196/D196,0)</f>
      </c>
      <c r="Q196" s="30">
        <f>IF(D196&gt;0,J196/D196,0)</f>
      </c>
    </row>
    <row r="197" spans="1:17" x14ac:dyDescent="0.25">
      <c r="A197" s="20" t="s">
        <v>190</v>
      </c>
      <c r="B197" s="20" t="s">
        <v>247</v>
      </c>
      <c r="C197" s="20" t="s">
        <v>254</v>
      </c>
      <c r="D197" s="22">
        <v>0</v>
      </c>
      <c r="E197" s="22">
        <v>0</v>
      </c>
      <c r="F197" s="22">
        <v>0</v>
      </c>
      <c r="G197" s="22">
        <v>0</v>
      </c>
      <c r="H197" s="22">
        <v>0</v>
      </c>
      <c r="I197" s="22">
        <v>0</v>
      </c>
      <c r="J197" s="22">
        <v>0</v>
      </c>
      <c r="K197" s="22">
        <v>0</v>
      </c>
      <c r="L197" s="28">
        <f>IF(D197=F197+H197+J197,"Correcto","Falso")</f>
      </c>
      <c r="M197" s="28">
        <f>IF(E197=G197+I197+K197,"Correcto","Falso")</f>
      </c>
      <c r="N197" s="29">
        <f>D197-(F197+H197+J197)</f>
      </c>
      <c r="O197" s="29">
        <f>E197-(G197+I197+K197)</f>
      </c>
      <c r="P197" s="30">
        <f>IF(D197&gt;0,F197/D197,0)</f>
      </c>
      <c r="Q197" s="30">
        <f>IF(D197&gt;0,J197/D197,0)</f>
      </c>
    </row>
    <row r="198" spans="1:17" x14ac:dyDescent="0.25">
      <c r="A198" s="20" t="s">
        <v>190</v>
      </c>
      <c r="B198" s="20" t="s">
        <v>247</v>
      </c>
      <c r="C198" s="20" t="s">
        <v>255</v>
      </c>
      <c r="D198" s="22">
        <v>0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  <c r="J198" s="22">
        <v>0</v>
      </c>
      <c r="K198" s="22">
        <v>0</v>
      </c>
      <c r="L198" s="28">
        <f>IF(D198=F198+H198+J198,"Correcto","Falso")</f>
      </c>
      <c r="M198" s="28">
        <f>IF(E198=G198+I198+K198,"Correcto","Falso")</f>
      </c>
      <c r="N198" s="29">
        <f>D198-(F198+H198+J198)</f>
      </c>
      <c r="O198" s="29">
        <f>E198-(G198+I198+K198)</f>
      </c>
      <c r="P198" s="30">
        <f>IF(D198&gt;0,F198/D198,0)</f>
      </c>
      <c r="Q198" s="30">
        <f>IF(D198&gt;0,J198/D198,0)</f>
      </c>
    </row>
    <row r="199" spans="1:17" x14ac:dyDescent="0.25">
      <c r="A199" s="20" t="s">
        <v>190</v>
      </c>
      <c r="B199" s="20" t="s">
        <v>38</v>
      </c>
      <c r="C199" s="20" t="s">
        <v>256</v>
      </c>
      <c r="D199" s="22">
        <v>0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8">
        <f>IF(D199=F199+H199+J199,"Correcto","Falso")</f>
      </c>
      <c r="M199" s="28">
        <f>IF(E199=G199+I199+K199,"Correcto","Falso")</f>
      </c>
      <c r="N199" s="29">
        <f>D199-(F199+H199+J199)</f>
      </c>
      <c r="O199" s="29">
        <f>E199-(G199+I199+K199)</f>
      </c>
      <c r="P199" s="30">
        <f>IF(D199&gt;0,F199/D199,0)</f>
      </c>
      <c r="Q199" s="30">
        <f>IF(D199&gt;0,J199/D199,0)</f>
      </c>
    </row>
    <row r="200" spans="1:17" x14ac:dyDescent="0.25">
      <c r="A200" s="20" t="s">
        <v>190</v>
      </c>
      <c r="B200" s="20" t="s">
        <v>38</v>
      </c>
      <c r="C200" s="20" t="s">
        <v>257</v>
      </c>
      <c r="D200" s="22">
        <v>0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8">
        <f>IF(D200=F200+H200+J200,"Correcto","Falso")</f>
      </c>
      <c r="M200" s="28">
        <f>IF(E200=G200+I200+K200,"Correcto","Falso")</f>
      </c>
      <c r="N200" s="29">
        <f>D200-(F200+H200+J200)</f>
      </c>
      <c r="O200" s="29">
        <f>E200-(G200+I200+K200)</f>
      </c>
      <c r="P200" s="30">
        <f>IF(D200&gt;0,F200/D200,0)</f>
      </c>
      <c r="Q200" s="30">
        <f>IF(D200&gt;0,J200/D200,0)</f>
      </c>
    </row>
    <row r="201" spans="1:17" x14ac:dyDescent="0.25">
      <c r="A201" s="20" t="s">
        <v>190</v>
      </c>
      <c r="B201" s="20" t="s">
        <v>38</v>
      </c>
      <c r="C201" s="20" t="s">
        <v>258</v>
      </c>
      <c r="D201" s="22">
        <v>0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8">
        <f>IF(D201=F201+H201+J201,"Correcto","Falso")</f>
      </c>
      <c r="M201" s="28">
        <f>IF(E201=G201+I201+K201,"Correcto","Falso")</f>
      </c>
      <c r="N201" s="29">
        <f>D201-(F201+H201+J201)</f>
      </c>
      <c r="O201" s="29">
        <f>E201-(G201+I201+K201)</f>
      </c>
      <c r="P201" s="30">
        <f>IF(D201&gt;0,F201/D201,0)</f>
      </c>
      <c r="Q201" s="30">
        <f>IF(D201&gt;0,J201/D201,0)</f>
      </c>
    </row>
    <row r="202" spans="1:17" x14ac:dyDescent="0.25">
      <c r="A202" s="20" t="s">
        <v>190</v>
      </c>
      <c r="B202" s="20" t="s">
        <v>38</v>
      </c>
      <c r="C202" s="20" t="s">
        <v>259</v>
      </c>
      <c r="D202" s="22">
        <v>0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8">
        <f>IF(D202=F202+H202+J202,"Correcto","Falso")</f>
      </c>
      <c r="M202" s="28">
        <f>IF(E202=G202+I202+K202,"Correcto","Falso")</f>
      </c>
      <c r="N202" s="29">
        <f>D202-(F202+H202+J202)</f>
      </c>
      <c r="O202" s="29">
        <f>E202-(G202+I202+K202)</f>
      </c>
      <c r="P202" s="30">
        <f>IF(D202&gt;0,F202/D202,0)</f>
      </c>
      <c r="Q202" s="30">
        <f>IF(D202&gt;0,J202/D202,0)</f>
      </c>
    </row>
    <row r="203" spans="1:17" x14ac:dyDescent="0.25">
      <c r="A203" s="20" t="s">
        <v>190</v>
      </c>
      <c r="B203" s="20" t="s">
        <v>38</v>
      </c>
      <c r="C203" s="20" t="s">
        <v>260</v>
      </c>
      <c r="D203" s="22">
        <v>0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8">
        <f>IF(D203=F203+H203+J203,"Correcto","Falso")</f>
      </c>
      <c r="M203" s="28">
        <f>IF(E203=G203+I203+K203,"Correcto","Falso")</f>
      </c>
      <c r="N203" s="29">
        <f>D203-(F203+H203+J203)</f>
      </c>
      <c r="O203" s="29">
        <f>E203-(G203+I203+K203)</f>
      </c>
      <c r="P203" s="30">
        <f>IF(D203&gt;0,F203/D203,0)</f>
      </c>
      <c r="Q203" s="30">
        <f>IF(D203&gt;0,J203/D203,0)</f>
      </c>
    </row>
    <row r="204" spans="1:17" x14ac:dyDescent="0.25">
      <c r="A204" s="20" t="s">
        <v>190</v>
      </c>
      <c r="B204" s="20" t="s">
        <v>38</v>
      </c>
      <c r="C204" s="20" t="s">
        <v>261</v>
      </c>
      <c r="D204" s="22">
        <v>0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8">
        <f>IF(D204=F204+H204+J204,"Correcto","Falso")</f>
      </c>
      <c r="M204" s="28">
        <f>IF(E204=G204+I204+K204,"Correcto","Falso")</f>
      </c>
      <c r="N204" s="29">
        <f>D204-(F204+H204+J204)</f>
      </c>
      <c r="O204" s="29">
        <f>E204-(G204+I204+K204)</f>
      </c>
      <c r="P204" s="30">
        <f>IF(D204&gt;0,F204/D204,0)</f>
      </c>
      <c r="Q204" s="30">
        <f>IF(D204&gt;0,J204/D204,0)</f>
      </c>
    </row>
    <row r="205" spans="1:17" x14ac:dyDescent="0.25">
      <c r="A205" s="20" t="s">
        <v>190</v>
      </c>
      <c r="B205" s="20" t="s">
        <v>38</v>
      </c>
      <c r="C205" s="20" t="s">
        <v>262</v>
      </c>
      <c r="D205" s="22">
        <v>0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8">
        <f>IF(D205=F205+H205+J205,"Correcto","Falso")</f>
      </c>
      <c r="M205" s="28">
        <f>IF(E205=G205+I205+K205,"Correcto","Falso")</f>
      </c>
      <c r="N205" s="29">
        <f>D205-(F205+H205+J205)</f>
      </c>
      <c r="O205" s="29">
        <f>E205-(G205+I205+K205)</f>
      </c>
      <c r="P205" s="30">
        <f>IF(D205&gt;0,F205/D205,0)</f>
      </c>
      <c r="Q205" s="30">
        <f>IF(D205&gt;0,J205/D205,0)</f>
      </c>
    </row>
    <row r="206" spans="1:17" x14ac:dyDescent="0.25">
      <c r="A206" s="20" t="s">
        <v>190</v>
      </c>
      <c r="B206" s="20" t="s">
        <v>38</v>
      </c>
      <c r="C206" s="20" t="s">
        <v>263</v>
      </c>
      <c r="D206" s="22">
        <v>0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8">
        <f>IF(D206=F206+H206+J206,"Correcto","Falso")</f>
      </c>
      <c r="M206" s="28">
        <f>IF(E206=G206+I206+K206,"Correcto","Falso")</f>
      </c>
      <c r="N206" s="29">
        <f>D206-(F206+H206+J206)</f>
      </c>
      <c r="O206" s="29">
        <f>E206-(G206+I206+K206)</f>
      </c>
      <c r="P206" s="30">
        <f>IF(D206&gt;0,F206/D206,0)</f>
      </c>
      <c r="Q206" s="30">
        <f>IF(D206&gt;0,J206/D206,0)</f>
      </c>
    </row>
    <row r="207" spans="1:17" x14ac:dyDescent="0.25">
      <c r="A207" s="20" t="s">
        <v>190</v>
      </c>
      <c r="B207" s="20" t="s">
        <v>39</v>
      </c>
      <c r="C207" s="20" t="s">
        <v>256</v>
      </c>
      <c r="D207" s="22">
        <v>0</v>
      </c>
      <c r="E207" s="22">
        <v>0</v>
      </c>
      <c r="F207" s="22">
        <v>0</v>
      </c>
      <c r="G207" s="22">
        <v>0</v>
      </c>
      <c r="H207" s="22">
        <v>0</v>
      </c>
      <c r="I207" s="22">
        <v>0</v>
      </c>
      <c r="J207" s="22">
        <v>0</v>
      </c>
      <c r="K207" s="22">
        <v>0</v>
      </c>
      <c r="L207" s="28">
        <f>IF(D207=F207+H207+J207,"Correcto","Falso")</f>
      </c>
      <c r="M207" s="28">
        <f>IF(E207=G207+I207+K207,"Correcto","Falso")</f>
      </c>
      <c r="N207" s="29">
        <f>D207-(F207+H207+J207)</f>
      </c>
      <c r="O207" s="29">
        <f>E207-(G207+I207+K207)</f>
      </c>
      <c r="P207" s="30">
        <f>IF(D207&gt;0,F207/D207,0)</f>
      </c>
      <c r="Q207" s="30">
        <f>IF(D207&gt;0,J207/D207,0)</f>
      </c>
    </row>
    <row r="208" spans="1:17" x14ac:dyDescent="0.25">
      <c r="A208" s="20" t="s">
        <v>190</v>
      </c>
      <c r="B208" s="20" t="s">
        <v>39</v>
      </c>
      <c r="C208" s="20" t="s">
        <v>257</v>
      </c>
      <c r="D208" s="22">
        <v>0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  <c r="J208" s="22">
        <v>0</v>
      </c>
      <c r="K208" s="22">
        <v>0</v>
      </c>
      <c r="L208" s="28">
        <f>IF(D208=F208+H208+J208,"Correcto","Falso")</f>
      </c>
      <c r="M208" s="28">
        <f>IF(E208=G208+I208+K208,"Correcto","Falso")</f>
      </c>
      <c r="N208" s="29">
        <f>D208-(F208+H208+J208)</f>
      </c>
      <c r="O208" s="29">
        <f>E208-(G208+I208+K208)</f>
      </c>
      <c r="P208" s="30">
        <f>IF(D208&gt;0,F208/D208,0)</f>
      </c>
      <c r="Q208" s="30">
        <f>IF(D208&gt;0,J208/D208,0)</f>
      </c>
    </row>
    <row r="209" spans="1:17" x14ac:dyDescent="0.25">
      <c r="A209" s="20" t="s">
        <v>190</v>
      </c>
      <c r="B209" s="20" t="s">
        <v>39</v>
      </c>
      <c r="C209" s="20" t="s">
        <v>258</v>
      </c>
      <c r="D209" s="22">
        <v>0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8">
        <f>IF(D209=F209+H209+J209,"Correcto","Falso")</f>
      </c>
      <c r="M209" s="28">
        <f>IF(E209=G209+I209+K209,"Correcto","Falso")</f>
      </c>
      <c r="N209" s="29">
        <f>D209-(F209+H209+J209)</f>
      </c>
      <c r="O209" s="29">
        <f>E209-(G209+I209+K209)</f>
      </c>
      <c r="P209" s="30">
        <f>IF(D209&gt;0,F209/D209,0)</f>
      </c>
      <c r="Q209" s="30">
        <f>IF(D209&gt;0,J209/D209,0)</f>
      </c>
    </row>
    <row r="210" spans="1:17" x14ac:dyDescent="0.25">
      <c r="A210" s="20" t="s">
        <v>190</v>
      </c>
      <c r="B210" s="20" t="s">
        <v>39</v>
      </c>
      <c r="C210" s="20" t="s">
        <v>259</v>
      </c>
      <c r="D210" s="22">
        <v>0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  <c r="J210" s="22">
        <v>0</v>
      </c>
      <c r="K210" s="22">
        <v>0</v>
      </c>
      <c r="L210" s="28">
        <f>IF(D210=F210+H210+J210,"Correcto","Falso")</f>
      </c>
      <c r="M210" s="28">
        <f>IF(E210=G210+I210+K210,"Correcto","Falso")</f>
      </c>
      <c r="N210" s="29">
        <f>D210-(F210+H210+J210)</f>
      </c>
      <c r="O210" s="29">
        <f>E210-(G210+I210+K210)</f>
      </c>
      <c r="P210" s="30">
        <f>IF(D210&gt;0,F210/D210,0)</f>
      </c>
      <c r="Q210" s="30">
        <f>IF(D210&gt;0,J210/D210,0)</f>
      </c>
    </row>
    <row r="211" spans="1:17" x14ac:dyDescent="0.25">
      <c r="A211" s="20" t="s">
        <v>190</v>
      </c>
      <c r="B211" s="20" t="s">
        <v>39</v>
      </c>
      <c r="C211" s="20" t="s">
        <v>260</v>
      </c>
      <c r="D211" s="22">
        <v>0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  <c r="J211" s="22">
        <v>0</v>
      </c>
      <c r="K211" s="22">
        <v>0</v>
      </c>
      <c r="L211" s="28">
        <f>IF(D211=F211+H211+J211,"Correcto","Falso")</f>
      </c>
      <c r="M211" s="28">
        <f>IF(E211=G211+I211+K211,"Correcto","Falso")</f>
      </c>
      <c r="N211" s="29">
        <f>D211-(F211+H211+J211)</f>
      </c>
      <c r="O211" s="29">
        <f>E211-(G211+I211+K211)</f>
      </c>
      <c r="P211" s="30">
        <f>IF(D211&gt;0,F211/D211,0)</f>
      </c>
      <c r="Q211" s="30">
        <f>IF(D211&gt;0,J211/D211,0)</f>
      </c>
    </row>
    <row r="212" spans="1:17" x14ac:dyDescent="0.25">
      <c r="A212" s="20" t="s">
        <v>190</v>
      </c>
      <c r="B212" s="20" t="s">
        <v>39</v>
      </c>
      <c r="C212" s="20" t="s">
        <v>261</v>
      </c>
      <c r="D212" s="22">
        <v>0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8">
        <f>IF(D212=F212+H212+J212,"Correcto","Falso")</f>
      </c>
      <c r="M212" s="28">
        <f>IF(E212=G212+I212+K212,"Correcto","Falso")</f>
      </c>
      <c r="N212" s="29">
        <f>D212-(F212+H212+J212)</f>
      </c>
      <c r="O212" s="29">
        <f>E212-(G212+I212+K212)</f>
      </c>
      <c r="P212" s="30">
        <f>IF(D212&gt;0,F212/D212,0)</f>
      </c>
      <c r="Q212" s="30">
        <f>IF(D212&gt;0,J212/D212,0)</f>
      </c>
    </row>
    <row r="213" spans="1:17" x14ac:dyDescent="0.25">
      <c r="A213" s="20" t="s">
        <v>190</v>
      </c>
      <c r="B213" s="20" t="s">
        <v>39</v>
      </c>
      <c r="C213" s="20" t="s">
        <v>262</v>
      </c>
      <c r="D213" s="22">
        <v>0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8">
        <f>IF(D213=F213+H213+J213,"Correcto","Falso")</f>
      </c>
      <c r="M213" s="28">
        <f>IF(E213=G213+I213+K213,"Correcto","Falso")</f>
      </c>
      <c r="N213" s="29">
        <f>D213-(F213+H213+J213)</f>
      </c>
      <c r="O213" s="29">
        <f>E213-(G213+I213+K213)</f>
      </c>
      <c r="P213" s="30">
        <f>IF(D213&gt;0,F213/D213,0)</f>
      </c>
      <c r="Q213" s="30">
        <f>IF(D213&gt;0,J213/D213,0)</f>
      </c>
    </row>
    <row r="214" spans="1:17" x14ac:dyDescent="0.25">
      <c r="A214" s="20" t="s">
        <v>190</v>
      </c>
      <c r="B214" s="20" t="s">
        <v>39</v>
      </c>
      <c r="C214" s="20" t="s">
        <v>263</v>
      </c>
      <c r="D214" s="22">
        <v>0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8">
        <f>IF(D214=F214+H214+J214,"Correcto","Falso")</f>
      </c>
      <c r="M214" s="28">
        <f>IF(E214=G214+I214+K214,"Correcto","Falso")</f>
      </c>
      <c r="N214" s="29">
        <f>D214-(F214+H214+J214)</f>
      </c>
      <c r="O214" s="29">
        <f>E214-(G214+I214+K214)</f>
      </c>
      <c r="P214" s="30">
        <f>IF(D214&gt;0,F214/D214,0)</f>
      </c>
      <c r="Q214" s="30">
        <f>IF(D214&gt;0,J214/D214,0)</f>
      </c>
    </row>
    <row r="215" spans="1:17" x14ac:dyDescent="0.25">
      <c r="A215" s="20" t="s">
        <v>190</v>
      </c>
      <c r="B215" s="20" t="s">
        <v>40</v>
      </c>
      <c r="C215" s="20" t="s">
        <v>256</v>
      </c>
      <c r="D215" s="22">
        <v>0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  <c r="J215" s="22">
        <v>0</v>
      </c>
      <c r="K215" s="22">
        <v>0</v>
      </c>
      <c r="L215" s="28">
        <f>IF(D215=F215+H215+J215,"Correcto","Falso")</f>
      </c>
      <c r="M215" s="28">
        <f>IF(E215=G215+I215+K215,"Correcto","Falso")</f>
      </c>
      <c r="N215" s="29">
        <f>D215-(F215+H215+J215)</f>
      </c>
      <c r="O215" s="29">
        <f>E215-(G215+I215+K215)</f>
      </c>
      <c r="P215" s="30">
        <f>IF(D215&gt;0,F215/D215,0)</f>
      </c>
      <c r="Q215" s="30">
        <f>IF(D215&gt;0,J215/D215,0)</f>
      </c>
    </row>
    <row r="216" spans="1:17" x14ac:dyDescent="0.25">
      <c r="A216" s="20" t="s">
        <v>190</v>
      </c>
      <c r="B216" s="20" t="s">
        <v>40</v>
      </c>
      <c r="C216" s="20" t="s">
        <v>257</v>
      </c>
      <c r="D216" s="22">
        <v>0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  <c r="J216" s="22">
        <v>0</v>
      </c>
      <c r="K216" s="22">
        <v>0</v>
      </c>
      <c r="L216" s="28">
        <f>IF(D216=F216+H216+J216,"Correcto","Falso")</f>
      </c>
      <c r="M216" s="28">
        <f>IF(E216=G216+I216+K216,"Correcto","Falso")</f>
      </c>
      <c r="N216" s="29">
        <f>D216-(F216+H216+J216)</f>
      </c>
      <c r="O216" s="29">
        <f>E216-(G216+I216+K216)</f>
      </c>
      <c r="P216" s="30">
        <f>IF(D216&gt;0,F216/D216,0)</f>
      </c>
      <c r="Q216" s="30">
        <f>IF(D216&gt;0,J216/D216,0)</f>
      </c>
    </row>
    <row r="217" spans="1:17" x14ac:dyDescent="0.25">
      <c r="A217" s="20" t="s">
        <v>190</v>
      </c>
      <c r="B217" s="20" t="s">
        <v>40</v>
      </c>
      <c r="C217" s="20" t="s">
        <v>258</v>
      </c>
      <c r="D217" s="22">
        <v>0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8">
        <f>IF(D217=F217+H217+J217,"Correcto","Falso")</f>
      </c>
      <c r="M217" s="28">
        <f>IF(E217=G217+I217+K217,"Correcto","Falso")</f>
      </c>
      <c r="N217" s="29">
        <f>D217-(F217+H217+J217)</f>
      </c>
      <c r="O217" s="29">
        <f>E217-(G217+I217+K217)</f>
      </c>
      <c r="P217" s="30">
        <f>IF(D217&gt;0,F217/D217,0)</f>
      </c>
      <c r="Q217" s="30">
        <f>IF(D217&gt;0,J217/D217,0)</f>
      </c>
    </row>
    <row r="218" spans="1:17" x14ac:dyDescent="0.25">
      <c r="A218" s="20" t="s">
        <v>190</v>
      </c>
      <c r="B218" s="20" t="s">
        <v>40</v>
      </c>
      <c r="C218" s="20" t="s">
        <v>259</v>
      </c>
      <c r="D218" s="22">
        <v>0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  <c r="J218" s="22">
        <v>0</v>
      </c>
      <c r="K218" s="22">
        <v>0</v>
      </c>
      <c r="L218" s="28">
        <f>IF(D218=F218+H218+J218,"Correcto","Falso")</f>
      </c>
      <c r="M218" s="28">
        <f>IF(E218=G218+I218+K218,"Correcto","Falso")</f>
      </c>
      <c r="N218" s="29">
        <f>D218-(F218+H218+J218)</f>
      </c>
      <c r="O218" s="29">
        <f>E218-(G218+I218+K218)</f>
      </c>
      <c r="P218" s="30">
        <f>IF(D218&gt;0,F218/D218,0)</f>
      </c>
      <c r="Q218" s="30">
        <f>IF(D218&gt;0,J218/D218,0)</f>
      </c>
    </row>
    <row r="219" spans="1:17" x14ac:dyDescent="0.25">
      <c r="A219" s="20" t="s">
        <v>190</v>
      </c>
      <c r="B219" s="20" t="s">
        <v>40</v>
      </c>
      <c r="C219" s="20" t="s">
        <v>260</v>
      </c>
      <c r="D219" s="22">
        <v>0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8">
        <f>IF(D219=F219+H219+J219,"Correcto","Falso")</f>
      </c>
      <c r="M219" s="28">
        <f>IF(E219=G219+I219+K219,"Correcto","Falso")</f>
      </c>
      <c r="N219" s="29">
        <f>D219-(F219+H219+J219)</f>
      </c>
      <c r="O219" s="29">
        <f>E219-(G219+I219+K219)</f>
      </c>
      <c r="P219" s="30">
        <f>IF(D219&gt;0,F219/D219,0)</f>
      </c>
      <c r="Q219" s="30">
        <f>IF(D219&gt;0,J219/D219,0)</f>
      </c>
    </row>
    <row r="220" spans="1:17" x14ac:dyDescent="0.25">
      <c r="A220" s="20" t="s">
        <v>190</v>
      </c>
      <c r="B220" s="20" t="s">
        <v>40</v>
      </c>
      <c r="C220" s="20" t="s">
        <v>261</v>
      </c>
      <c r="D220" s="22">
        <v>0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8">
        <f>IF(D220=F220+H220+J220,"Correcto","Falso")</f>
      </c>
      <c r="M220" s="28">
        <f>IF(E220=G220+I220+K220,"Correcto","Falso")</f>
      </c>
      <c r="N220" s="29">
        <f>D220-(F220+H220+J220)</f>
      </c>
      <c r="O220" s="29">
        <f>E220-(G220+I220+K220)</f>
      </c>
      <c r="P220" s="30">
        <f>IF(D220&gt;0,F220/D220,0)</f>
      </c>
      <c r="Q220" s="30">
        <f>IF(D220&gt;0,J220/D220,0)</f>
      </c>
    </row>
    <row r="221" spans="1:17" x14ac:dyDescent="0.25">
      <c r="A221" s="20" t="s">
        <v>190</v>
      </c>
      <c r="B221" s="20" t="s">
        <v>40</v>
      </c>
      <c r="C221" s="20" t="s">
        <v>262</v>
      </c>
      <c r="D221" s="22">
        <v>0</v>
      </c>
      <c r="E221" s="22">
        <v>0</v>
      </c>
      <c r="F221" s="22">
        <v>0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8">
        <f>IF(D221=F221+H221+J221,"Correcto","Falso")</f>
      </c>
      <c r="M221" s="28">
        <f>IF(E221=G221+I221+K221,"Correcto","Falso")</f>
      </c>
      <c r="N221" s="29">
        <f>D221-(F221+H221+J221)</f>
      </c>
      <c r="O221" s="29">
        <f>E221-(G221+I221+K221)</f>
      </c>
      <c r="P221" s="30">
        <f>IF(D221&gt;0,F221/D221,0)</f>
      </c>
      <c r="Q221" s="30">
        <f>IF(D221&gt;0,J221/D221,0)</f>
      </c>
    </row>
    <row r="222" spans="1:17" x14ac:dyDescent="0.25">
      <c r="A222" s="20" t="s">
        <v>190</v>
      </c>
      <c r="B222" s="20" t="s">
        <v>40</v>
      </c>
      <c r="C222" s="20" t="s">
        <v>263</v>
      </c>
      <c r="D222" s="22">
        <v>0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8">
        <f>IF(D222=F222+H222+J222,"Correcto","Falso")</f>
      </c>
      <c r="M222" s="28">
        <f>IF(E222=G222+I222+K222,"Correcto","Falso")</f>
      </c>
      <c r="N222" s="29">
        <f>D222-(F222+H222+J222)</f>
      </c>
      <c r="O222" s="29">
        <f>E222-(G222+I222+K222)</f>
      </c>
      <c r="P222" s="30">
        <f>IF(D222&gt;0,F222/D222,0)</f>
      </c>
      <c r="Q222" s="30">
        <f>IF(D222&gt;0,J222/D222,0)</f>
      </c>
    </row>
    <row r="223" spans="1:17" x14ac:dyDescent="0.25">
      <c r="A223" s="20" t="s">
        <v>190</v>
      </c>
      <c r="B223" s="20" t="s">
        <v>247</v>
      </c>
      <c r="C223" s="20" t="s">
        <v>256</v>
      </c>
      <c r="D223" s="22">
        <v>0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8">
        <f>IF(D223=F223+H223+J223,"Correcto","Falso")</f>
      </c>
      <c r="M223" s="28">
        <f>IF(E223=G223+I223+K223,"Correcto","Falso")</f>
      </c>
      <c r="N223" s="29">
        <f>D223-(F223+H223+J223)</f>
      </c>
      <c r="O223" s="29">
        <f>E223-(G223+I223+K223)</f>
      </c>
      <c r="P223" s="30">
        <f>IF(D223&gt;0,F223/D223,0)</f>
      </c>
      <c r="Q223" s="30">
        <f>IF(D223&gt;0,J223/D223,0)</f>
      </c>
    </row>
    <row r="224" spans="1:17" x14ac:dyDescent="0.25">
      <c r="A224" s="20" t="s">
        <v>190</v>
      </c>
      <c r="B224" s="20" t="s">
        <v>247</v>
      </c>
      <c r="C224" s="20" t="s">
        <v>257</v>
      </c>
      <c r="D224" s="22">
        <v>0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8">
        <f>IF(D224=F224+H224+J224,"Correcto","Falso")</f>
      </c>
      <c r="M224" s="28">
        <f>IF(E224=G224+I224+K224,"Correcto","Falso")</f>
      </c>
      <c r="N224" s="29">
        <f>D224-(F224+H224+J224)</f>
      </c>
      <c r="O224" s="29">
        <f>E224-(G224+I224+K224)</f>
      </c>
      <c r="P224" s="30">
        <f>IF(D224&gt;0,F224/D224,0)</f>
      </c>
      <c r="Q224" s="30">
        <f>IF(D224&gt;0,J224/D224,0)</f>
      </c>
    </row>
    <row r="225" spans="1:17" x14ac:dyDescent="0.25">
      <c r="A225" s="20" t="s">
        <v>190</v>
      </c>
      <c r="B225" s="20" t="s">
        <v>247</v>
      </c>
      <c r="C225" s="20" t="s">
        <v>258</v>
      </c>
      <c r="D225" s="22">
        <v>0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8">
        <f>IF(D225=F225+H225+J225,"Correcto","Falso")</f>
      </c>
      <c r="M225" s="28">
        <f>IF(E225=G225+I225+K225,"Correcto","Falso")</f>
      </c>
      <c r="N225" s="29">
        <f>D225-(F225+H225+J225)</f>
      </c>
      <c r="O225" s="29">
        <f>E225-(G225+I225+K225)</f>
      </c>
      <c r="P225" s="30">
        <f>IF(D225&gt;0,F225/D225,0)</f>
      </c>
      <c r="Q225" s="30">
        <f>IF(D225&gt;0,J225/D225,0)</f>
      </c>
    </row>
    <row r="226" spans="1:17" x14ac:dyDescent="0.25">
      <c r="A226" s="20" t="s">
        <v>190</v>
      </c>
      <c r="B226" s="20" t="s">
        <v>247</v>
      </c>
      <c r="C226" s="20" t="s">
        <v>259</v>
      </c>
      <c r="D226" s="22">
        <v>0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8">
        <f>IF(D226=F226+H226+J226,"Correcto","Falso")</f>
      </c>
      <c r="M226" s="28">
        <f>IF(E226=G226+I226+K226,"Correcto","Falso")</f>
      </c>
      <c r="N226" s="29">
        <f>D226-(F226+H226+J226)</f>
      </c>
      <c r="O226" s="29">
        <f>E226-(G226+I226+K226)</f>
      </c>
      <c r="P226" s="30">
        <f>IF(D226&gt;0,F226/D226,0)</f>
      </c>
      <c r="Q226" s="30">
        <f>IF(D226&gt;0,J226/D226,0)</f>
      </c>
    </row>
    <row r="227" spans="1:17" x14ac:dyDescent="0.25">
      <c r="A227" s="20" t="s">
        <v>190</v>
      </c>
      <c r="B227" s="20" t="s">
        <v>247</v>
      </c>
      <c r="C227" s="20" t="s">
        <v>260</v>
      </c>
      <c r="D227" s="22">
        <v>0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  <c r="K227" s="22">
        <v>0</v>
      </c>
      <c r="L227" s="28">
        <f>IF(D227=F227+H227+J227,"Correcto","Falso")</f>
      </c>
      <c r="M227" s="28">
        <f>IF(E227=G227+I227+K227,"Correcto","Falso")</f>
      </c>
      <c r="N227" s="29">
        <f>D227-(F227+H227+J227)</f>
      </c>
      <c r="O227" s="29">
        <f>E227-(G227+I227+K227)</f>
      </c>
      <c r="P227" s="30">
        <f>IF(D227&gt;0,F227/D227,0)</f>
      </c>
      <c r="Q227" s="30">
        <f>IF(D227&gt;0,J227/D227,0)</f>
      </c>
    </row>
    <row r="228" spans="1:17" x14ac:dyDescent="0.25">
      <c r="A228" s="20" t="s">
        <v>190</v>
      </c>
      <c r="B228" s="20" t="s">
        <v>247</v>
      </c>
      <c r="C228" s="20" t="s">
        <v>261</v>
      </c>
      <c r="D228" s="22">
        <v>0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8">
        <f>IF(D228=F228+H228+J228,"Correcto","Falso")</f>
      </c>
      <c r="M228" s="28">
        <f>IF(E228=G228+I228+K228,"Correcto","Falso")</f>
      </c>
      <c r="N228" s="29">
        <f>D228-(F228+H228+J228)</f>
      </c>
      <c r="O228" s="29">
        <f>E228-(G228+I228+K228)</f>
      </c>
      <c r="P228" s="30">
        <f>IF(D228&gt;0,F228/D228,0)</f>
      </c>
      <c r="Q228" s="30">
        <f>IF(D228&gt;0,J228/D228,0)</f>
      </c>
    </row>
    <row r="229" spans="1:17" x14ac:dyDescent="0.25">
      <c r="A229" s="20" t="s">
        <v>190</v>
      </c>
      <c r="B229" s="20" t="s">
        <v>247</v>
      </c>
      <c r="C229" s="20" t="s">
        <v>262</v>
      </c>
      <c r="D229" s="22">
        <v>0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  <c r="J229" s="22">
        <v>0</v>
      </c>
      <c r="K229" s="22">
        <v>0</v>
      </c>
      <c r="L229" s="28">
        <f>IF(D229=F229+H229+J229,"Correcto","Falso")</f>
      </c>
      <c r="M229" s="28">
        <f>IF(E229=G229+I229+K229,"Correcto","Falso")</f>
      </c>
      <c r="N229" s="29">
        <f>D229-(F229+H229+J229)</f>
      </c>
      <c r="O229" s="29">
        <f>E229-(G229+I229+K229)</f>
      </c>
      <c r="P229" s="30">
        <f>IF(D229&gt;0,F229/D229,0)</f>
      </c>
      <c r="Q229" s="30">
        <f>IF(D229&gt;0,J229/D229,0)</f>
      </c>
    </row>
    <row r="230" spans="1:17" x14ac:dyDescent="0.25">
      <c r="A230" s="20" t="s">
        <v>190</v>
      </c>
      <c r="B230" s="20" t="s">
        <v>247</v>
      </c>
      <c r="C230" s="20" t="s">
        <v>263</v>
      </c>
      <c r="D230" s="22">
        <v>0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8">
        <f>IF(D230=F230+H230+J230,"Correcto","Falso")</f>
      </c>
      <c r="M230" s="28">
        <f>IF(E230=G230+I230+K230,"Correcto","Falso")</f>
      </c>
      <c r="N230" s="29">
        <f>D230-(F230+H230+J230)</f>
      </c>
      <c r="O230" s="29">
        <f>E230-(G230+I230+K230)</f>
      </c>
      <c r="P230" s="30">
        <f>IF(D230&gt;0,F230/D230,0)</f>
      </c>
      <c r="Q230" s="30">
        <f>IF(D230&gt;0,J230/D230,0)</f>
      </c>
    </row>
    <row r="231" spans="1:17" x14ac:dyDescent="0.25">
      <c r="A231" s="20" t="s">
        <v>190</v>
      </c>
      <c r="B231" s="20" t="s">
        <v>38</v>
      </c>
      <c r="C231" s="20" t="s">
        <v>264</v>
      </c>
      <c r="D231" s="22">
        <v>0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8">
        <f>IF(D231=F231+H231+J231,"Correcto","Falso")</f>
      </c>
      <c r="M231" s="28">
        <f>IF(E231=G231+I231+K231,"Correcto","Falso")</f>
      </c>
      <c r="N231" s="29">
        <f>D231-(F231+H231+J231)</f>
      </c>
      <c r="O231" s="29">
        <f>E231-(G231+I231+K231)</f>
      </c>
      <c r="P231" s="30">
        <f>IF(D231&gt;0,F231/D231,0)</f>
      </c>
      <c r="Q231" s="30">
        <f>IF(D231&gt;0,J231/D231,0)</f>
      </c>
    </row>
    <row r="232" spans="1:17" x14ac:dyDescent="0.25">
      <c r="A232" s="20" t="s">
        <v>190</v>
      </c>
      <c r="B232" s="20" t="s">
        <v>38</v>
      </c>
      <c r="C232" s="20" t="s">
        <v>265</v>
      </c>
      <c r="D232" s="22">
        <v>0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  <c r="J232" s="22">
        <v>0</v>
      </c>
      <c r="K232" s="22">
        <v>0</v>
      </c>
      <c r="L232" s="28">
        <f>IF(D232=F232+H232+J232,"Correcto","Falso")</f>
      </c>
      <c r="M232" s="28">
        <f>IF(E232=G232+I232+K232,"Correcto","Falso")</f>
      </c>
      <c r="N232" s="29">
        <f>D232-(F232+H232+J232)</f>
      </c>
      <c r="O232" s="29">
        <f>E232-(G232+I232+K232)</f>
      </c>
      <c r="P232" s="30">
        <f>IF(D232&gt;0,F232/D232,0)</f>
      </c>
      <c r="Q232" s="30">
        <f>IF(D232&gt;0,J232/D232,0)</f>
      </c>
    </row>
    <row r="233" spans="1:17" x14ac:dyDescent="0.25">
      <c r="A233" s="20" t="s">
        <v>190</v>
      </c>
      <c r="B233" s="20" t="s">
        <v>38</v>
      </c>
      <c r="C233" s="20" t="s">
        <v>266</v>
      </c>
      <c r="D233" s="22">
        <v>0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  <c r="J233" s="22">
        <v>0</v>
      </c>
      <c r="K233" s="22">
        <v>0</v>
      </c>
      <c r="L233" s="28">
        <f>IF(D233=F233+H233+J233,"Correcto","Falso")</f>
      </c>
      <c r="M233" s="28">
        <f>IF(E233=G233+I233+K233,"Correcto","Falso")</f>
      </c>
      <c r="N233" s="29">
        <f>D233-(F233+H233+J233)</f>
      </c>
      <c r="O233" s="29">
        <f>E233-(G233+I233+K233)</f>
      </c>
      <c r="P233" s="30">
        <f>IF(D233&gt;0,F233/D233,0)</f>
      </c>
      <c r="Q233" s="30">
        <f>IF(D233&gt;0,J233/D233,0)</f>
      </c>
    </row>
    <row r="234" spans="1:17" x14ac:dyDescent="0.25">
      <c r="A234" s="20" t="s">
        <v>190</v>
      </c>
      <c r="B234" s="20" t="s">
        <v>38</v>
      </c>
      <c r="C234" s="20" t="s">
        <v>267</v>
      </c>
      <c r="D234" s="22">
        <v>0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8">
        <f>IF(D234=F234+H234+J234,"Correcto","Falso")</f>
      </c>
      <c r="M234" s="28">
        <f>IF(E234=G234+I234+K234,"Correcto","Falso")</f>
      </c>
      <c r="N234" s="29">
        <f>D234-(F234+H234+J234)</f>
      </c>
      <c r="O234" s="29">
        <f>E234-(G234+I234+K234)</f>
      </c>
      <c r="P234" s="30">
        <f>IF(D234&gt;0,F234/D234,0)</f>
      </c>
      <c r="Q234" s="30">
        <f>IF(D234&gt;0,J234/D234,0)</f>
      </c>
    </row>
    <row r="235" spans="1:17" x14ac:dyDescent="0.25">
      <c r="A235" s="20" t="s">
        <v>190</v>
      </c>
      <c r="B235" s="20" t="s">
        <v>38</v>
      </c>
      <c r="C235" s="20" t="s">
        <v>268</v>
      </c>
      <c r="D235" s="22">
        <v>0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8">
        <f>IF(D235=F235+H235+J235,"Correcto","Falso")</f>
      </c>
      <c r="M235" s="28">
        <f>IF(E235=G235+I235+K235,"Correcto","Falso")</f>
      </c>
      <c r="N235" s="29">
        <f>D235-(F235+H235+J235)</f>
      </c>
      <c r="O235" s="29">
        <f>E235-(G235+I235+K235)</f>
      </c>
      <c r="P235" s="30">
        <f>IF(D235&gt;0,F235/D235,0)</f>
      </c>
      <c r="Q235" s="30">
        <f>IF(D235&gt;0,J235/D235,0)</f>
      </c>
    </row>
    <row r="236" spans="1:17" x14ac:dyDescent="0.25">
      <c r="A236" s="20" t="s">
        <v>190</v>
      </c>
      <c r="B236" s="20" t="s">
        <v>38</v>
      </c>
      <c r="C236" s="20" t="s">
        <v>269</v>
      </c>
      <c r="D236" s="22">
        <v>0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8">
        <f>IF(D236=F236+H236+J236,"Correcto","Falso")</f>
      </c>
      <c r="M236" s="28">
        <f>IF(E236=G236+I236+K236,"Correcto","Falso")</f>
      </c>
      <c r="N236" s="29">
        <f>D236-(F236+H236+J236)</f>
      </c>
      <c r="O236" s="29">
        <f>E236-(G236+I236+K236)</f>
      </c>
      <c r="P236" s="30">
        <f>IF(D236&gt;0,F236/D236,0)</f>
      </c>
      <c r="Q236" s="30">
        <f>IF(D236&gt;0,J236/D236,0)</f>
      </c>
    </row>
    <row r="237" spans="1:17" x14ac:dyDescent="0.25">
      <c r="A237" s="20" t="s">
        <v>190</v>
      </c>
      <c r="B237" s="20" t="s">
        <v>38</v>
      </c>
      <c r="C237" s="20" t="s">
        <v>270</v>
      </c>
      <c r="D237" s="22">
        <v>0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  <c r="J237" s="22">
        <v>0</v>
      </c>
      <c r="K237" s="22">
        <v>0</v>
      </c>
      <c r="L237" s="28">
        <f>IF(D237=F237+H237+J237,"Correcto","Falso")</f>
      </c>
      <c r="M237" s="28">
        <f>IF(E237=G237+I237+K237,"Correcto","Falso")</f>
      </c>
      <c r="N237" s="29">
        <f>D237-(F237+H237+J237)</f>
      </c>
      <c r="O237" s="29">
        <f>E237-(G237+I237+K237)</f>
      </c>
      <c r="P237" s="30">
        <f>IF(D237&gt;0,F237/D237,0)</f>
      </c>
      <c r="Q237" s="30">
        <f>IF(D237&gt;0,J237/D237,0)</f>
      </c>
    </row>
    <row r="238" spans="1:17" x14ac:dyDescent="0.25">
      <c r="A238" s="20" t="s">
        <v>190</v>
      </c>
      <c r="B238" s="20" t="s">
        <v>38</v>
      </c>
      <c r="C238" s="20" t="s">
        <v>271</v>
      </c>
      <c r="D238" s="22">
        <v>0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8">
        <f>IF(D238=F238+H238+J238,"Correcto","Falso")</f>
      </c>
      <c r="M238" s="28">
        <f>IF(E238=G238+I238+K238,"Correcto","Falso")</f>
      </c>
      <c r="N238" s="29">
        <f>D238-(F238+H238+J238)</f>
      </c>
      <c r="O238" s="29">
        <f>E238-(G238+I238+K238)</f>
      </c>
      <c r="P238" s="30">
        <f>IF(D238&gt;0,F238/D238,0)</f>
      </c>
      <c r="Q238" s="30">
        <f>IF(D238&gt;0,J238/D238,0)</f>
      </c>
    </row>
    <row r="239" spans="1:17" x14ac:dyDescent="0.25">
      <c r="A239" s="20" t="s">
        <v>190</v>
      </c>
      <c r="B239" s="20" t="s">
        <v>39</v>
      </c>
      <c r="C239" s="20" t="s">
        <v>264</v>
      </c>
      <c r="D239" s="22">
        <v>0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8">
        <f>IF(D239=F239+H239+J239,"Correcto","Falso")</f>
      </c>
      <c r="M239" s="28">
        <f>IF(E239=G239+I239+K239,"Correcto","Falso")</f>
      </c>
      <c r="N239" s="29">
        <f>D239-(F239+H239+J239)</f>
      </c>
      <c r="O239" s="29">
        <f>E239-(G239+I239+K239)</f>
      </c>
      <c r="P239" s="30">
        <f>IF(D239&gt;0,F239/D239,0)</f>
      </c>
      <c r="Q239" s="30">
        <f>IF(D239&gt;0,J239/D239,0)</f>
      </c>
    </row>
    <row r="240" spans="1:17" x14ac:dyDescent="0.25">
      <c r="A240" s="20" t="s">
        <v>190</v>
      </c>
      <c r="B240" s="20" t="s">
        <v>39</v>
      </c>
      <c r="C240" s="20" t="s">
        <v>265</v>
      </c>
      <c r="D240" s="22">
        <v>0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8">
        <f>IF(D240=F240+H240+J240,"Correcto","Falso")</f>
      </c>
      <c r="M240" s="28">
        <f>IF(E240=G240+I240+K240,"Correcto","Falso")</f>
      </c>
      <c r="N240" s="29">
        <f>D240-(F240+H240+J240)</f>
      </c>
      <c r="O240" s="29">
        <f>E240-(G240+I240+K240)</f>
      </c>
      <c r="P240" s="30">
        <f>IF(D240&gt;0,F240/D240,0)</f>
      </c>
      <c r="Q240" s="30">
        <f>IF(D240&gt;0,J240/D240,0)</f>
      </c>
    </row>
    <row r="241" spans="1:17" x14ac:dyDescent="0.25">
      <c r="A241" s="20" t="s">
        <v>190</v>
      </c>
      <c r="B241" s="20" t="s">
        <v>39</v>
      </c>
      <c r="C241" s="20" t="s">
        <v>266</v>
      </c>
      <c r="D241" s="22">
        <v>0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  <c r="J241" s="22">
        <v>0</v>
      </c>
      <c r="K241" s="22">
        <v>0</v>
      </c>
      <c r="L241" s="28">
        <f>IF(D241=F241+H241+J241,"Correcto","Falso")</f>
      </c>
      <c r="M241" s="28">
        <f>IF(E241=G241+I241+K241,"Correcto","Falso")</f>
      </c>
      <c r="N241" s="29">
        <f>D241-(F241+H241+J241)</f>
      </c>
      <c r="O241" s="29">
        <f>E241-(G241+I241+K241)</f>
      </c>
      <c r="P241" s="30">
        <f>IF(D241&gt;0,F241/D241,0)</f>
      </c>
      <c r="Q241" s="30">
        <f>IF(D241&gt;0,J241/D241,0)</f>
      </c>
    </row>
    <row r="242" spans="1:17" x14ac:dyDescent="0.25">
      <c r="A242" s="20" t="s">
        <v>190</v>
      </c>
      <c r="B242" s="20" t="s">
        <v>39</v>
      </c>
      <c r="C242" s="20" t="s">
        <v>267</v>
      </c>
      <c r="D242" s="22">
        <v>0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8">
        <f>IF(D242=F242+H242+J242,"Correcto","Falso")</f>
      </c>
      <c r="M242" s="28">
        <f>IF(E242=G242+I242+K242,"Correcto","Falso")</f>
      </c>
      <c r="N242" s="29">
        <f>D242-(F242+H242+J242)</f>
      </c>
      <c r="O242" s="29">
        <f>E242-(G242+I242+K242)</f>
      </c>
      <c r="P242" s="30">
        <f>IF(D242&gt;0,F242/D242,0)</f>
      </c>
      <c r="Q242" s="30">
        <f>IF(D242&gt;0,J242/D242,0)</f>
      </c>
    </row>
    <row r="243" spans="1:17" x14ac:dyDescent="0.25">
      <c r="A243" s="20" t="s">
        <v>190</v>
      </c>
      <c r="B243" s="20" t="s">
        <v>39</v>
      </c>
      <c r="C243" s="20" t="s">
        <v>268</v>
      </c>
      <c r="D243" s="22">
        <v>0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  <c r="J243" s="22">
        <v>0</v>
      </c>
      <c r="K243" s="22">
        <v>0</v>
      </c>
      <c r="L243" s="28">
        <f>IF(D243=F243+H243+J243,"Correcto","Falso")</f>
      </c>
      <c r="M243" s="28">
        <f>IF(E243=G243+I243+K243,"Correcto","Falso")</f>
      </c>
      <c r="N243" s="29">
        <f>D243-(F243+H243+J243)</f>
      </c>
      <c r="O243" s="29">
        <f>E243-(G243+I243+K243)</f>
      </c>
      <c r="P243" s="30">
        <f>IF(D243&gt;0,F243/D243,0)</f>
      </c>
      <c r="Q243" s="30">
        <f>IF(D243&gt;0,J243/D243,0)</f>
      </c>
    </row>
    <row r="244" spans="1:17" x14ac:dyDescent="0.25">
      <c r="A244" s="20" t="s">
        <v>190</v>
      </c>
      <c r="B244" s="20" t="s">
        <v>39</v>
      </c>
      <c r="C244" s="20" t="s">
        <v>269</v>
      </c>
      <c r="D244" s="22">
        <v>0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  <c r="J244" s="22">
        <v>0</v>
      </c>
      <c r="K244" s="22">
        <v>0</v>
      </c>
      <c r="L244" s="28">
        <f>IF(D244=F244+H244+J244,"Correcto","Falso")</f>
      </c>
      <c r="M244" s="28">
        <f>IF(E244=G244+I244+K244,"Correcto","Falso")</f>
      </c>
      <c r="N244" s="29">
        <f>D244-(F244+H244+J244)</f>
      </c>
      <c r="O244" s="29">
        <f>E244-(G244+I244+K244)</f>
      </c>
      <c r="P244" s="30">
        <f>IF(D244&gt;0,F244/D244,0)</f>
      </c>
      <c r="Q244" s="30">
        <f>IF(D244&gt;0,J244/D244,0)</f>
      </c>
    </row>
    <row r="245" spans="1:17" x14ac:dyDescent="0.25">
      <c r="A245" s="20" t="s">
        <v>190</v>
      </c>
      <c r="B245" s="20" t="s">
        <v>39</v>
      </c>
      <c r="C245" s="20" t="s">
        <v>270</v>
      </c>
      <c r="D245" s="22">
        <v>0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8">
        <f>IF(D245=F245+H245+J245,"Correcto","Falso")</f>
      </c>
      <c r="M245" s="28">
        <f>IF(E245=G245+I245+K245,"Correcto","Falso")</f>
      </c>
      <c r="N245" s="29">
        <f>D245-(F245+H245+J245)</f>
      </c>
      <c r="O245" s="29">
        <f>E245-(G245+I245+K245)</f>
      </c>
      <c r="P245" s="30">
        <f>IF(D245&gt;0,F245/D245,0)</f>
      </c>
      <c r="Q245" s="30">
        <f>IF(D245&gt;0,J245/D245,0)</f>
      </c>
    </row>
    <row r="246" spans="1:17" x14ac:dyDescent="0.25">
      <c r="A246" s="20" t="s">
        <v>190</v>
      </c>
      <c r="B246" s="20" t="s">
        <v>39</v>
      </c>
      <c r="C246" s="20" t="s">
        <v>271</v>
      </c>
      <c r="D246" s="22">
        <v>0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8">
        <f>IF(D246=F246+H246+J246,"Correcto","Falso")</f>
      </c>
      <c r="M246" s="28">
        <f>IF(E246=G246+I246+K246,"Correcto","Falso")</f>
      </c>
      <c r="N246" s="29">
        <f>D246-(F246+H246+J246)</f>
      </c>
      <c r="O246" s="29">
        <f>E246-(G246+I246+K246)</f>
      </c>
      <c r="P246" s="30">
        <f>IF(D246&gt;0,F246/D246,0)</f>
      </c>
      <c r="Q246" s="30">
        <f>IF(D246&gt;0,J246/D246,0)</f>
      </c>
    </row>
    <row r="247" spans="1:17" x14ac:dyDescent="0.25">
      <c r="A247" s="20" t="s">
        <v>190</v>
      </c>
      <c r="B247" s="20" t="s">
        <v>40</v>
      </c>
      <c r="C247" s="20" t="s">
        <v>264</v>
      </c>
      <c r="D247" s="22">
        <v>0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8">
        <f>IF(D247=F247+H247+J247,"Correcto","Falso")</f>
      </c>
      <c r="M247" s="28">
        <f>IF(E247=G247+I247+K247,"Correcto","Falso")</f>
      </c>
      <c r="N247" s="29">
        <f>D247-(F247+H247+J247)</f>
      </c>
      <c r="O247" s="29">
        <f>E247-(G247+I247+K247)</f>
      </c>
      <c r="P247" s="30">
        <f>IF(D247&gt;0,F247/D247,0)</f>
      </c>
      <c r="Q247" s="30">
        <f>IF(D247&gt;0,J247/D247,0)</f>
      </c>
    </row>
    <row r="248" spans="1:17" x14ac:dyDescent="0.25">
      <c r="A248" s="20" t="s">
        <v>190</v>
      </c>
      <c r="B248" s="20" t="s">
        <v>40</v>
      </c>
      <c r="C248" s="20" t="s">
        <v>265</v>
      </c>
      <c r="D248" s="22">
        <v>0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  <c r="J248" s="22">
        <v>0</v>
      </c>
      <c r="K248" s="22">
        <v>0</v>
      </c>
      <c r="L248" s="28">
        <f>IF(D248=F248+H248+J248,"Correcto","Falso")</f>
      </c>
      <c r="M248" s="28">
        <f>IF(E248=G248+I248+K248,"Correcto","Falso")</f>
      </c>
      <c r="N248" s="29">
        <f>D248-(F248+H248+J248)</f>
      </c>
      <c r="O248" s="29">
        <f>E248-(G248+I248+K248)</f>
      </c>
      <c r="P248" s="30">
        <f>IF(D248&gt;0,F248/D248,0)</f>
      </c>
      <c r="Q248" s="30">
        <f>IF(D248&gt;0,J248/D248,0)</f>
      </c>
    </row>
    <row r="249" spans="1:17" x14ac:dyDescent="0.25">
      <c r="A249" s="20" t="s">
        <v>190</v>
      </c>
      <c r="B249" s="20" t="s">
        <v>40</v>
      </c>
      <c r="C249" s="20" t="s">
        <v>266</v>
      </c>
      <c r="D249" s="22">
        <v>0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8">
        <f>IF(D249=F249+H249+J249,"Correcto","Falso")</f>
      </c>
      <c r="M249" s="28">
        <f>IF(E249=G249+I249+K249,"Correcto","Falso")</f>
      </c>
      <c r="N249" s="29">
        <f>D249-(F249+H249+J249)</f>
      </c>
      <c r="O249" s="29">
        <f>E249-(G249+I249+K249)</f>
      </c>
      <c r="P249" s="30">
        <f>IF(D249&gt;0,F249/D249,0)</f>
      </c>
      <c r="Q249" s="30">
        <f>IF(D249&gt;0,J249/D249,0)</f>
      </c>
    </row>
    <row r="250" spans="1:17" x14ac:dyDescent="0.25">
      <c r="A250" s="20" t="s">
        <v>190</v>
      </c>
      <c r="B250" s="20" t="s">
        <v>40</v>
      </c>
      <c r="C250" s="20" t="s">
        <v>267</v>
      </c>
      <c r="D250" s="22">
        <v>0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8">
        <f>IF(D250=F250+H250+J250,"Correcto","Falso")</f>
      </c>
      <c r="M250" s="28">
        <f>IF(E250=G250+I250+K250,"Correcto","Falso")</f>
      </c>
      <c r="N250" s="29">
        <f>D250-(F250+H250+J250)</f>
      </c>
      <c r="O250" s="29">
        <f>E250-(G250+I250+K250)</f>
      </c>
      <c r="P250" s="30">
        <f>IF(D250&gt;0,F250/D250,0)</f>
      </c>
      <c r="Q250" s="30">
        <f>IF(D250&gt;0,J250/D250,0)</f>
      </c>
    </row>
    <row r="251" spans="1:17" x14ac:dyDescent="0.25">
      <c r="A251" s="20" t="s">
        <v>190</v>
      </c>
      <c r="B251" s="20" t="s">
        <v>40</v>
      </c>
      <c r="C251" s="20" t="s">
        <v>268</v>
      </c>
      <c r="D251" s="22">
        <v>0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8">
        <f>IF(D251=F251+H251+J251,"Correcto","Falso")</f>
      </c>
      <c r="M251" s="28">
        <f>IF(E251=G251+I251+K251,"Correcto","Falso")</f>
      </c>
      <c r="N251" s="29">
        <f>D251-(F251+H251+J251)</f>
      </c>
      <c r="O251" s="29">
        <f>E251-(G251+I251+K251)</f>
      </c>
      <c r="P251" s="30">
        <f>IF(D251&gt;0,F251/D251,0)</f>
      </c>
      <c r="Q251" s="30">
        <f>IF(D251&gt;0,J251/D251,0)</f>
      </c>
    </row>
    <row r="252" spans="1:17" x14ac:dyDescent="0.25">
      <c r="A252" s="20" t="s">
        <v>190</v>
      </c>
      <c r="B252" s="20" t="s">
        <v>40</v>
      </c>
      <c r="C252" s="20" t="s">
        <v>269</v>
      </c>
      <c r="D252" s="22">
        <v>0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  <c r="J252" s="22">
        <v>0</v>
      </c>
      <c r="K252" s="22">
        <v>0</v>
      </c>
      <c r="L252" s="28">
        <f>IF(D252=F252+H252+J252,"Correcto","Falso")</f>
      </c>
      <c r="M252" s="28">
        <f>IF(E252=G252+I252+K252,"Correcto","Falso")</f>
      </c>
      <c r="N252" s="29">
        <f>D252-(F252+H252+J252)</f>
      </c>
      <c r="O252" s="29">
        <f>E252-(G252+I252+K252)</f>
      </c>
      <c r="P252" s="30">
        <f>IF(D252&gt;0,F252/D252,0)</f>
      </c>
      <c r="Q252" s="30">
        <f>IF(D252&gt;0,J252/D252,0)</f>
      </c>
    </row>
    <row r="253" spans="1:17" x14ac:dyDescent="0.25">
      <c r="A253" s="20" t="s">
        <v>190</v>
      </c>
      <c r="B253" s="20" t="s">
        <v>40</v>
      </c>
      <c r="C253" s="20" t="s">
        <v>270</v>
      </c>
      <c r="D253" s="22">
        <v>0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  <c r="K253" s="22">
        <v>0</v>
      </c>
      <c r="L253" s="28">
        <f>IF(D253=F253+H253+J253,"Correcto","Falso")</f>
      </c>
      <c r="M253" s="28">
        <f>IF(E253=G253+I253+K253,"Correcto","Falso")</f>
      </c>
      <c r="N253" s="29">
        <f>D253-(F253+H253+J253)</f>
      </c>
      <c r="O253" s="29">
        <f>E253-(G253+I253+K253)</f>
      </c>
      <c r="P253" s="30">
        <f>IF(D253&gt;0,F253/D253,0)</f>
      </c>
      <c r="Q253" s="30">
        <f>IF(D253&gt;0,J253/D253,0)</f>
      </c>
    </row>
    <row r="254" spans="1:17" x14ac:dyDescent="0.25">
      <c r="A254" s="20" t="s">
        <v>190</v>
      </c>
      <c r="B254" s="20" t="s">
        <v>40</v>
      </c>
      <c r="C254" s="20" t="s">
        <v>271</v>
      </c>
      <c r="D254" s="22">
        <v>0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8">
        <f>IF(D254=F254+H254+J254,"Correcto","Falso")</f>
      </c>
      <c r="M254" s="28">
        <f>IF(E254=G254+I254+K254,"Correcto","Falso")</f>
      </c>
      <c r="N254" s="29">
        <f>D254-(F254+H254+J254)</f>
      </c>
      <c r="O254" s="29">
        <f>E254-(G254+I254+K254)</f>
      </c>
      <c r="P254" s="30">
        <f>IF(D254&gt;0,F254/D254,0)</f>
      </c>
      <c r="Q254" s="30">
        <f>IF(D254&gt;0,J254/D254,0)</f>
      </c>
    </row>
    <row r="255" spans="1:17" x14ac:dyDescent="0.25">
      <c r="A255" s="20" t="s">
        <v>190</v>
      </c>
      <c r="B255" s="20" t="s">
        <v>247</v>
      </c>
      <c r="C255" s="20" t="s">
        <v>264</v>
      </c>
      <c r="D255" s="22">
        <v>0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8">
        <f>IF(D255=F255+H255+J255,"Correcto","Falso")</f>
      </c>
      <c r="M255" s="28">
        <f>IF(E255=G255+I255+K255,"Correcto","Falso")</f>
      </c>
      <c r="N255" s="29">
        <f>D255-(F255+H255+J255)</f>
      </c>
      <c r="O255" s="29">
        <f>E255-(G255+I255+K255)</f>
      </c>
      <c r="P255" s="30">
        <f>IF(D255&gt;0,F255/D255,0)</f>
      </c>
      <c r="Q255" s="30">
        <f>IF(D255&gt;0,J255/D255,0)</f>
      </c>
    </row>
    <row r="256" spans="1:17" x14ac:dyDescent="0.25">
      <c r="A256" s="20" t="s">
        <v>190</v>
      </c>
      <c r="B256" s="20" t="s">
        <v>247</v>
      </c>
      <c r="C256" s="20" t="s">
        <v>265</v>
      </c>
      <c r="D256" s="22">
        <v>0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  <c r="J256" s="22">
        <v>0</v>
      </c>
      <c r="K256" s="22">
        <v>0</v>
      </c>
      <c r="L256" s="28">
        <f>IF(D256=F256+H256+J256,"Correcto","Falso")</f>
      </c>
      <c r="M256" s="28">
        <f>IF(E256=G256+I256+K256,"Correcto","Falso")</f>
      </c>
      <c r="N256" s="29">
        <f>D256-(F256+H256+J256)</f>
      </c>
      <c r="O256" s="29">
        <f>E256-(G256+I256+K256)</f>
      </c>
      <c r="P256" s="30">
        <f>IF(D256&gt;0,F256/D256,0)</f>
      </c>
      <c r="Q256" s="30">
        <f>IF(D256&gt;0,J256/D256,0)</f>
      </c>
    </row>
    <row r="257" spans="1:17" x14ac:dyDescent="0.25">
      <c r="A257" s="20" t="s">
        <v>190</v>
      </c>
      <c r="B257" s="20" t="s">
        <v>247</v>
      </c>
      <c r="C257" s="20" t="s">
        <v>266</v>
      </c>
      <c r="D257" s="22">
        <v>0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  <c r="J257" s="22">
        <v>0</v>
      </c>
      <c r="K257" s="22">
        <v>0</v>
      </c>
      <c r="L257" s="28">
        <f>IF(D257=F257+H257+J257,"Correcto","Falso")</f>
      </c>
      <c r="M257" s="28">
        <f>IF(E257=G257+I257+K257,"Correcto","Falso")</f>
      </c>
      <c r="N257" s="29">
        <f>D257-(F257+H257+J257)</f>
      </c>
      <c r="O257" s="29">
        <f>E257-(G257+I257+K257)</f>
      </c>
      <c r="P257" s="30">
        <f>IF(D257&gt;0,F257/D257,0)</f>
      </c>
      <c r="Q257" s="30">
        <f>IF(D257&gt;0,J257/D257,0)</f>
      </c>
    </row>
    <row r="258" spans="1:17" x14ac:dyDescent="0.25">
      <c r="A258" s="20" t="s">
        <v>190</v>
      </c>
      <c r="B258" s="20" t="s">
        <v>247</v>
      </c>
      <c r="C258" s="20" t="s">
        <v>267</v>
      </c>
      <c r="D258" s="22">
        <v>0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  <c r="J258" s="22">
        <v>0</v>
      </c>
      <c r="K258" s="22">
        <v>0</v>
      </c>
      <c r="L258" s="28">
        <f>IF(D258=F258+H258+J258,"Correcto","Falso")</f>
      </c>
      <c r="M258" s="28">
        <f>IF(E258=G258+I258+K258,"Correcto","Falso")</f>
      </c>
      <c r="N258" s="29">
        <f>D258-(F258+H258+J258)</f>
      </c>
      <c r="O258" s="29">
        <f>E258-(G258+I258+K258)</f>
      </c>
      <c r="P258" s="30">
        <f>IF(D258&gt;0,F258/D258,0)</f>
      </c>
      <c r="Q258" s="30">
        <f>IF(D258&gt;0,J258/D258,0)</f>
      </c>
    </row>
    <row r="259" spans="1:17" x14ac:dyDescent="0.25">
      <c r="A259" s="20" t="s">
        <v>190</v>
      </c>
      <c r="B259" s="20" t="s">
        <v>247</v>
      </c>
      <c r="C259" s="20" t="s">
        <v>268</v>
      </c>
      <c r="D259" s="22">
        <v>0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8">
        <f>IF(D259=F259+H259+J259,"Correcto","Falso")</f>
      </c>
      <c r="M259" s="28">
        <f>IF(E259=G259+I259+K259,"Correcto","Falso")</f>
      </c>
      <c r="N259" s="29">
        <f>D259-(F259+H259+J259)</f>
      </c>
      <c r="O259" s="29">
        <f>E259-(G259+I259+K259)</f>
      </c>
      <c r="P259" s="30">
        <f>IF(D259&gt;0,F259/D259,0)</f>
      </c>
      <c r="Q259" s="30">
        <f>IF(D259&gt;0,J259/D259,0)</f>
      </c>
    </row>
    <row r="260" spans="1:17" x14ac:dyDescent="0.25">
      <c r="A260" s="20" t="s">
        <v>190</v>
      </c>
      <c r="B260" s="20" t="s">
        <v>247</v>
      </c>
      <c r="C260" s="20" t="s">
        <v>269</v>
      </c>
      <c r="D260" s="22">
        <v>0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  <c r="J260" s="22">
        <v>0</v>
      </c>
      <c r="K260" s="22">
        <v>0</v>
      </c>
      <c r="L260" s="28">
        <f>IF(D260=F260+H260+J260,"Correcto","Falso")</f>
      </c>
      <c r="M260" s="28">
        <f>IF(E260=G260+I260+K260,"Correcto","Falso")</f>
      </c>
      <c r="N260" s="29">
        <f>D260-(F260+H260+J260)</f>
      </c>
      <c r="O260" s="29">
        <f>E260-(G260+I260+K260)</f>
      </c>
      <c r="P260" s="30">
        <f>IF(D260&gt;0,F260/D260,0)</f>
      </c>
      <c r="Q260" s="30">
        <f>IF(D260&gt;0,J260/D260,0)</f>
      </c>
    </row>
    <row r="261" spans="1:17" x14ac:dyDescent="0.25">
      <c r="A261" s="20" t="s">
        <v>190</v>
      </c>
      <c r="B261" s="20" t="s">
        <v>247</v>
      </c>
      <c r="C261" s="20" t="s">
        <v>270</v>
      </c>
      <c r="D261" s="22">
        <v>0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  <c r="J261" s="22">
        <v>0</v>
      </c>
      <c r="K261" s="22">
        <v>0</v>
      </c>
      <c r="L261" s="28">
        <f>IF(D261=F261+H261+J261,"Correcto","Falso")</f>
      </c>
      <c r="M261" s="28">
        <f>IF(E261=G261+I261+K261,"Correcto","Falso")</f>
      </c>
      <c r="N261" s="29">
        <f>D261-(F261+H261+J261)</f>
      </c>
      <c r="O261" s="29">
        <f>E261-(G261+I261+K261)</f>
      </c>
      <c r="P261" s="30">
        <f>IF(D261&gt;0,F261/D261,0)</f>
      </c>
      <c r="Q261" s="30">
        <f>IF(D261&gt;0,J261/D261,0)</f>
      </c>
    </row>
    <row r="262" spans="1:17" x14ac:dyDescent="0.25">
      <c r="A262" s="20" t="s">
        <v>190</v>
      </c>
      <c r="B262" s="20" t="s">
        <v>247</v>
      </c>
      <c r="C262" s="20" t="s">
        <v>271</v>
      </c>
      <c r="D262" s="22">
        <v>0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  <c r="J262" s="22">
        <v>0</v>
      </c>
      <c r="K262" s="22">
        <v>0</v>
      </c>
      <c r="L262" s="28">
        <f>IF(D262=F262+H262+J262,"Correcto","Falso")</f>
      </c>
      <c r="M262" s="28">
        <f>IF(E262=G262+I262+K262,"Correcto","Falso")</f>
      </c>
      <c r="N262" s="29">
        <f>D262-(F262+H262+J262)</f>
      </c>
      <c r="O262" s="29">
        <f>E262-(G262+I262+K262)</f>
      </c>
      <c r="P262" s="30">
        <f>IF(D262&gt;0,F262/D262,0)</f>
      </c>
      <c r="Q262" s="30">
        <f>IF(D262&gt;0,J262/D262,0)</f>
      </c>
    </row>
    <row r="263" spans="1:17" x14ac:dyDescent="0.25">
      <c r="A263" s="20" t="s">
        <v>190</v>
      </c>
      <c r="B263" s="20" t="s">
        <v>38</v>
      </c>
      <c r="C263" s="20" t="s">
        <v>239</v>
      </c>
      <c r="D263" s="22">
        <v>0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8">
        <f>IF(D263=F263+H263+J263,"Correcto","Falso")</f>
      </c>
      <c r="M263" s="28">
        <f>IF(E263=G263+I263+K263,"Correcto","Falso")</f>
      </c>
      <c r="N263" s="29">
        <f>D263-(F263+H263+J263)</f>
      </c>
      <c r="O263" s="29">
        <f>E263-(G263+I263+K263)</f>
      </c>
      <c r="P263" s="30">
        <f>IF(D263&gt;0,F263/D263,0)</f>
      </c>
      <c r="Q263" s="30">
        <f>IF(D263&gt;0,J263/D263,0)</f>
      </c>
    </row>
    <row r="264" spans="1:17" x14ac:dyDescent="0.25">
      <c r="A264" s="20" t="s">
        <v>190</v>
      </c>
      <c r="B264" s="20" t="s">
        <v>38</v>
      </c>
      <c r="C264" s="20" t="s">
        <v>240</v>
      </c>
      <c r="D264" s="22">
        <v>0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  <c r="J264" s="22">
        <v>0</v>
      </c>
      <c r="K264" s="22">
        <v>0</v>
      </c>
      <c r="L264" s="28">
        <f>IF(D264=F264+H264+J264,"Correcto","Falso")</f>
      </c>
      <c r="M264" s="28">
        <f>IF(E264=G264+I264+K264,"Correcto","Falso")</f>
      </c>
      <c r="N264" s="29">
        <f>D264-(F264+H264+J264)</f>
      </c>
      <c r="O264" s="29">
        <f>E264-(G264+I264+K264)</f>
      </c>
      <c r="P264" s="30">
        <f>IF(D264&gt;0,F264/D264,0)</f>
      </c>
      <c r="Q264" s="30">
        <f>IF(D264&gt;0,J264/D264,0)</f>
      </c>
    </row>
    <row r="265" spans="1:17" x14ac:dyDescent="0.25">
      <c r="A265" s="20" t="s">
        <v>190</v>
      </c>
      <c r="B265" s="20" t="s">
        <v>38</v>
      </c>
      <c r="C265" s="20" t="s">
        <v>241</v>
      </c>
      <c r="D265" s="22">
        <v>0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8">
        <f>IF(D265=F265+H265+J265,"Correcto","Falso")</f>
      </c>
      <c r="M265" s="28">
        <f>IF(E265=G265+I265+K265,"Correcto","Falso")</f>
      </c>
      <c r="N265" s="29">
        <f>D265-(F265+H265+J265)</f>
      </c>
      <c r="O265" s="29">
        <f>E265-(G265+I265+K265)</f>
      </c>
      <c r="P265" s="30">
        <f>IF(D265&gt;0,F265/D265,0)</f>
      </c>
      <c r="Q265" s="30">
        <f>IF(D265&gt;0,J265/D265,0)</f>
      </c>
    </row>
    <row r="266" spans="1:17" x14ac:dyDescent="0.25">
      <c r="A266" s="20" t="s">
        <v>190</v>
      </c>
      <c r="B266" s="20" t="s">
        <v>38</v>
      </c>
      <c r="C266" s="20" t="s">
        <v>242</v>
      </c>
      <c r="D266" s="22">
        <v>0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8">
        <f>IF(D266=F266+H266+J266,"Correcto","Falso")</f>
      </c>
      <c r="M266" s="28">
        <f>IF(E266=G266+I266+K266,"Correcto","Falso")</f>
      </c>
      <c r="N266" s="29">
        <f>D266-(F266+H266+J266)</f>
      </c>
      <c r="O266" s="29">
        <f>E266-(G266+I266+K266)</f>
      </c>
      <c r="P266" s="30">
        <f>IF(D266&gt;0,F266/D266,0)</f>
      </c>
      <c r="Q266" s="30">
        <f>IF(D266&gt;0,J266/D266,0)</f>
      </c>
    </row>
    <row r="267" spans="1:17" x14ac:dyDescent="0.25">
      <c r="A267" s="20" t="s">
        <v>190</v>
      </c>
      <c r="B267" s="20" t="s">
        <v>38</v>
      </c>
      <c r="C267" s="20" t="s">
        <v>243</v>
      </c>
      <c r="D267" s="22">
        <v>0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  <c r="J267" s="22">
        <v>0</v>
      </c>
      <c r="K267" s="22">
        <v>0</v>
      </c>
      <c r="L267" s="28">
        <f>IF(D267=F267+H267+J267,"Correcto","Falso")</f>
      </c>
      <c r="M267" s="28">
        <f>IF(E267=G267+I267+K267,"Correcto","Falso")</f>
      </c>
      <c r="N267" s="29">
        <f>D267-(F267+H267+J267)</f>
      </c>
      <c r="O267" s="29">
        <f>E267-(G267+I267+K267)</f>
      </c>
      <c r="P267" s="30">
        <f>IF(D267&gt;0,F267/D267,0)</f>
      </c>
      <c r="Q267" s="30">
        <f>IF(D267&gt;0,J267/D267,0)</f>
      </c>
    </row>
    <row r="268" spans="1:17" x14ac:dyDescent="0.25">
      <c r="A268" s="20" t="s">
        <v>190</v>
      </c>
      <c r="B268" s="20" t="s">
        <v>38</v>
      </c>
      <c r="C268" s="20" t="s">
        <v>244</v>
      </c>
      <c r="D268" s="22">
        <v>0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8">
        <f>IF(D268=F268+H268+J268,"Correcto","Falso")</f>
      </c>
      <c r="M268" s="28">
        <f>IF(E268=G268+I268+K268,"Correcto","Falso")</f>
      </c>
      <c r="N268" s="29">
        <f>D268-(F268+H268+J268)</f>
      </c>
      <c r="O268" s="29">
        <f>E268-(G268+I268+K268)</f>
      </c>
      <c r="P268" s="30">
        <f>IF(D268&gt;0,F268/D268,0)</f>
      </c>
      <c r="Q268" s="30">
        <f>IF(D268&gt;0,J268/D268,0)</f>
      </c>
    </row>
    <row r="269" spans="1:17" x14ac:dyDescent="0.25">
      <c r="A269" s="20" t="s">
        <v>190</v>
      </c>
      <c r="B269" s="20" t="s">
        <v>38</v>
      </c>
      <c r="C269" s="20" t="s">
        <v>245</v>
      </c>
      <c r="D269" s="22">
        <v>0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8">
        <f>IF(D269=F269+H269+J269,"Correcto","Falso")</f>
      </c>
      <c r="M269" s="28">
        <f>IF(E269=G269+I269+K269,"Correcto","Falso")</f>
      </c>
      <c r="N269" s="29">
        <f>D269-(F269+H269+J269)</f>
      </c>
      <c r="O269" s="29">
        <f>E269-(G269+I269+K269)</f>
      </c>
      <c r="P269" s="30">
        <f>IF(D269&gt;0,F269/D269,0)</f>
      </c>
      <c r="Q269" s="30">
        <f>IF(D269&gt;0,J269/D269,0)</f>
      </c>
    </row>
    <row r="270" spans="1:17" x14ac:dyDescent="0.25">
      <c r="A270" s="20" t="s">
        <v>190</v>
      </c>
      <c r="B270" s="20" t="s">
        <v>38</v>
      </c>
      <c r="C270" s="20" t="s">
        <v>246</v>
      </c>
      <c r="D270" s="22">
        <v>0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  <c r="K270" s="22">
        <v>0</v>
      </c>
      <c r="L270" s="28">
        <f>IF(D270=F270+H270+J270,"Correcto","Falso")</f>
      </c>
      <c r="M270" s="28">
        <f>IF(E270=G270+I270+K270,"Correcto","Falso")</f>
      </c>
      <c r="N270" s="29">
        <f>D270-(F270+H270+J270)</f>
      </c>
      <c r="O270" s="29">
        <f>E270-(G270+I270+K270)</f>
      </c>
      <c r="P270" s="30">
        <f>IF(D270&gt;0,F270/D270,0)</f>
      </c>
      <c r="Q270" s="30">
        <f>IF(D270&gt;0,J270/D270,0)</f>
      </c>
    </row>
    <row r="271" spans="1:17" x14ac:dyDescent="0.25">
      <c r="A271" s="20" t="s">
        <v>190</v>
      </c>
      <c r="B271" s="20" t="s">
        <v>39</v>
      </c>
      <c r="C271" s="20" t="s">
        <v>239</v>
      </c>
      <c r="D271" s="22">
        <v>0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8">
        <f>IF(D271=F271+H271+J271,"Correcto","Falso")</f>
      </c>
      <c r="M271" s="28">
        <f>IF(E271=G271+I271+K271,"Correcto","Falso")</f>
      </c>
      <c r="N271" s="29">
        <f>D271-(F271+H271+J271)</f>
      </c>
      <c r="O271" s="29">
        <f>E271-(G271+I271+K271)</f>
      </c>
      <c r="P271" s="30">
        <f>IF(D271&gt;0,F271/D271,0)</f>
      </c>
      <c r="Q271" s="30">
        <f>IF(D271&gt;0,J271/D271,0)</f>
      </c>
    </row>
    <row r="272" spans="1:17" x14ac:dyDescent="0.25">
      <c r="A272" s="20" t="s">
        <v>190</v>
      </c>
      <c r="B272" s="20" t="s">
        <v>39</v>
      </c>
      <c r="C272" s="20" t="s">
        <v>240</v>
      </c>
      <c r="D272" s="22">
        <v>0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8">
        <f>IF(D272=F272+H272+J272,"Correcto","Falso")</f>
      </c>
      <c r="M272" s="28">
        <f>IF(E272=G272+I272+K272,"Correcto","Falso")</f>
      </c>
      <c r="N272" s="29">
        <f>D272-(F272+H272+J272)</f>
      </c>
      <c r="O272" s="29">
        <f>E272-(G272+I272+K272)</f>
      </c>
      <c r="P272" s="30">
        <f>IF(D272&gt;0,F272/D272,0)</f>
      </c>
      <c r="Q272" s="30">
        <f>IF(D272&gt;0,J272/D272,0)</f>
      </c>
    </row>
    <row r="273" spans="1:17" x14ac:dyDescent="0.25">
      <c r="A273" s="20" t="s">
        <v>190</v>
      </c>
      <c r="B273" s="20" t="s">
        <v>39</v>
      </c>
      <c r="C273" s="20" t="s">
        <v>241</v>
      </c>
      <c r="D273" s="22">
        <v>0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8">
        <f>IF(D273=F273+H273+J273,"Correcto","Falso")</f>
      </c>
      <c r="M273" s="28">
        <f>IF(E273=G273+I273+K273,"Correcto","Falso")</f>
      </c>
      <c r="N273" s="29">
        <f>D273-(F273+H273+J273)</f>
      </c>
      <c r="O273" s="29">
        <f>E273-(G273+I273+K273)</f>
      </c>
      <c r="P273" s="30">
        <f>IF(D273&gt;0,F273/D273,0)</f>
      </c>
      <c r="Q273" s="30">
        <f>IF(D273&gt;0,J273/D273,0)</f>
      </c>
    </row>
    <row r="274" spans="1:17" x14ac:dyDescent="0.25">
      <c r="A274" s="20" t="s">
        <v>190</v>
      </c>
      <c r="B274" s="20" t="s">
        <v>39</v>
      </c>
      <c r="C274" s="20" t="s">
        <v>242</v>
      </c>
      <c r="D274" s="22">
        <v>0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8">
        <f>IF(D274=F274+H274+J274,"Correcto","Falso")</f>
      </c>
      <c r="M274" s="28">
        <f>IF(E274=G274+I274+K274,"Correcto","Falso")</f>
      </c>
      <c r="N274" s="29">
        <f>D274-(F274+H274+J274)</f>
      </c>
      <c r="O274" s="29">
        <f>E274-(G274+I274+K274)</f>
      </c>
      <c r="P274" s="30">
        <f>IF(D274&gt;0,F274/D274,0)</f>
      </c>
      <c r="Q274" s="30">
        <f>IF(D274&gt;0,J274/D274,0)</f>
      </c>
    </row>
    <row r="275" spans="1:16" x14ac:dyDescent="0.25">
      <c r="A275" s="23" t="s">
        <v>79</v>
      </c>
      <c r="B275" s="23" t="s">
        <v>9</v>
      </c>
      <c r="C275" s="23" t="s">
        <v>272</v>
      </c>
      <c r="D275" s="24">
        <f>SUM(D7:D274)</f>
      </c>
      <c r="E275" s="24">
        <f>SUM(E7:E274)</f>
      </c>
      <c r="F275" s="24">
        <f>SUM(F7:F274)</f>
      </c>
      <c r="G275" s="24">
        <f>SUM(G7:G274)</f>
      </c>
      <c r="H275" s="24">
        <f>SUM(H7:H274)</f>
      </c>
      <c r="I275" s="24">
        <f>SUM(I7:I274)</f>
      </c>
      <c r="J275" s="24">
        <f>SUM(J7:J274)</f>
      </c>
      <c r="K275" s="24">
        <f>SUM(K7:K274)</f>
      </c>
      <c r="L275" s="31">
        <f>IF(D275=F275+H275+J275,"Correcto","Falso")</f>
      </c>
      <c r="M275" s="31">
        <f>IF(E275=G275+I275+K275,"Correcto","Falso")</f>
      </c>
      <c r="N275" s="32">
        <f>D275-(F275+H275+J275)</f>
      </c>
      <c r="O275" s="33">
        <f>IF(D275&gt;0,F275/D275,0)</f>
      </c>
      <c r="P275" s="33">
        <f>IF(D275&gt;0,J275/D275,0)</f>
      </c>
    </row>
    <row r="277" spans="1:17" x14ac:dyDescent="0.25">
      <c r="A277" s="20" t="s">
        <v>72</v>
      </c>
      <c r="B277" s="20" t="s">
        <v>38</v>
      </c>
      <c r="C277" s="20" t="s">
        <v>273</v>
      </c>
      <c r="D277" s="22">
        <v>0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8">
        <f>IF(D277=F277+H277+J277,"Correcto","Falso")</f>
      </c>
      <c r="M277" s="28">
        <f>IF(E277=G277+I277+K277,"Correcto","Falso")</f>
      </c>
      <c r="N277" s="29">
        <f>D277-(F277+H277+J277)</f>
      </c>
      <c r="O277" s="29">
        <f>E277-(G277+I277+K277)</f>
      </c>
      <c r="P277" s="30">
        <f>IF(D277&gt;0,F277/D277,0)</f>
      </c>
      <c r="Q277" s="30">
        <f>IF(D277&gt;0,J277/D277,0)</f>
      </c>
    </row>
    <row r="278" spans="1:17" x14ac:dyDescent="0.25">
      <c r="A278" s="20" t="s">
        <v>72</v>
      </c>
      <c r="B278" s="20" t="s">
        <v>38</v>
      </c>
      <c r="C278" s="20" t="s">
        <v>274</v>
      </c>
      <c r="D278" s="22">
        <v>0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8">
        <f>IF(D278=F278+H278+J278,"Correcto","Falso")</f>
      </c>
      <c r="M278" s="28">
        <f>IF(E278=G278+I278+K278,"Correcto","Falso")</f>
      </c>
      <c r="N278" s="29">
        <f>D278-(F278+H278+J278)</f>
      </c>
      <c r="O278" s="29">
        <f>E278-(G278+I278+K278)</f>
      </c>
      <c r="P278" s="30">
        <f>IF(D278&gt;0,F278/D278,0)</f>
      </c>
      <c r="Q278" s="30">
        <f>IF(D278&gt;0,J278/D278,0)</f>
      </c>
    </row>
    <row r="279" spans="1:17" x14ac:dyDescent="0.25">
      <c r="A279" s="20" t="s">
        <v>72</v>
      </c>
      <c r="B279" s="20" t="s">
        <v>38</v>
      </c>
      <c r="C279" s="20" t="s">
        <v>275</v>
      </c>
      <c r="D279" s="22">
        <v>0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8">
        <f>IF(D279=F279+H279+J279,"Correcto","Falso")</f>
      </c>
      <c r="M279" s="28">
        <f>IF(E279=G279+I279+K279,"Correcto","Falso")</f>
      </c>
      <c r="N279" s="29">
        <f>D279-(F279+H279+J279)</f>
      </c>
      <c r="O279" s="29">
        <f>E279-(G279+I279+K279)</f>
      </c>
      <c r="P279" s="30">
        <f>IF(D279&gt;0,F279/D279,0)</f>
      </c>
      <c r="Q279" s="30">
        <f>IF(D279&gt;0,J279/D279,0)</f>
      </c>
    </row>
    <row r="280" spans="1:17" x14ac:dyDescent="0.25">
      <c r="A280" s="20" t="s">
        <v>72</v>
      </c>
      <c r="B280" s="20" t="s">
        <v>38</v>
      </c>
      <c r="C280" s="20" t="s">
        <v>276</v>
      </c>
      <c r="D280" s="22">
        <v>0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8">
        <f>IF(D280=F280+H280+J280,"Correcto","Falso")</f>
      </c>
      <c r="M280" s="28">
        <f>IF(E280=G280+I280+K280,"Correcto","Falso")</f>
      </c>
      <c r="N280" s="29">
        <f>D280-(F280+H280+J280)</f>
      </c>
      <c r="O280" s="29">
        <f>E280-(G280+I280+K280)</f>
      </c>
      <c r="P280" s="30">
        <f>IF(D280&gt;0,F280/D280,0)</f>
      </c>
      <c r="Q280" s="30">
        <f>IF(D280&gt;0,J280/D280,0)</f>
      </c>
    </row>
    <row r="281" spans="1:17" x14ac:dyDescent="0.25">
      <c r="A281" s="20" t="s">
        <v>72</v>
      </c>
      <c r="B281" s="20" t="s">
        <v>38</v>
      </c>
      <c r="C281" s="20" t="s">
        <v>277</v>
      </c>
      <c r="D281" s="22">
        <v>0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8">
        <f>IF(D281=F281+H281+J281,"Correcto","Falso")</f>
      </c>
      <c r="M281" s="28">
        <f>IF(E281=G281+I281+K281,"Correcto","Falso")</f>
      </c>
      <c r="N281" s="29">
        <f>D281-(F281+H281+J281)</f>
      </c>
      <c r="O281" s="29">
        <f>E281-(G281+I281+K281)</f>
      </c>
      <c r="P281" s="30">
        <f>IF(D281&gt;0,F281/D281,0)</f>
      </c>
      <c r="Q281" s="30">
        <f>IF(D281&gt;0,J281/D281,0)</f>
      </c>
    </row>
    <row r="282" spans="1:17" x14ac:dyDescent="0.25">
      <c r="A282" s="20" t="s">
        <v>72</v>
      </c>
      <c r="B282" s="20" t="s">
        <v>38</v>
      </c>
      <c r="C282" s="20" t="s">
        <v>278</v>
      </c>
      <c r="D282" s="22">
        <v>0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8">
        <f>IF(D282=F282+H282+J282,"Correcto","Falso")</f>
      </c>
      <c r="M282" s="28">
        <f>IF(E282=G282+I282+K282,"Correcto","Falso")</f>
      </c>
      <c r="N282" s="29">
        <f>D282-(F282+H282+J282)</f>
      </c>
      <c r="O282" s="29">
        <f>E282-(G282+I282+K282)</f>
      </c>
      <c r="P282" s="30">
        <f>IF(D282&gt;0,F282/D282,0)</f>
      </c>
      <c r="Q282" s="30">
        <f>IF(D282&gt;0,J282/D282,0)</f>
      </c>
    </row>
    <row r="283" spans="1:17" x14ac:dyDescent="0.25">
      <c r="A283" s="20" t="s">
        <v>72</v>
      </c>
      <c r="B283" s="20" t="s">
        <v>38</v>
      </c>
      <c r="C283" s="20" t="s">
        <v>279</v>
      </c>
      <c r="D283" s="22">
        <v>0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8">
        <f>IF(D283=F283+H283+J283,"Correcto","Falso")</f>
      </c>
      <c r="M283" s="28">
        <f>IF(E283=G283+I283+K283,"Correcto","Falso")</f>
      </c>
      <c r="N283" s="29">
        <f>D283-(F283+H283+J283)</f>
      </c>
      <c r="O283" s="29">
        <f>E283-(G283+I283+K283)</f>
      </c>
      <c r="P283" s="30">
        <f>IF(D283&gt;0,F283/D283,0)</f>
      </c>
      <c r="Q283" s="30">
        <f>IF(D283&gt;0,J283/D283,0)</f>
      </c>
    </row>
    <row r="284" spans="1:17" x14ac:dyDescent="0.25">
      <c r="A284" s="20" t="s">
        <v>72</v>
      </c>
      <c r="B284" s="20" t="s">
        <v>38</v>
      </c>
      <c r="C284" s="20" t="s">
        <v>280</v>
      </c>
      <c r="D284" s="22">
        <v>0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8">
        <f>IF(D284=F284+H284+J284,"Correcto","Falso")</f>
      </c>
      <c r="M284" s="28">
        <f>IF(E284=G284+I284+K284,"Correcto","Falso")</f>
      </c>
      <c r="N284" s="29">
        <f>D284-(F284+H284+J284)</f>
      </c>
      <c r="O284" s="29">
        <f>E284-(G284+I284+K284)</f>
      </c>
      <c r="P284" s="30">
        <f>IF(D284&gt;0,F284/D284,0)</f>
      </c>
      <c r="Q284" s="30">
        <f>IF(D284&gt;0,J284/D284,0)</f>
      </c>
    </row>
    <row r="285" spans="1:17" x14ac:dyDescent="0.25">
      <c r="A285" s="20" t="s">
        <v>72</v>
      </c>
      <c r="B285" s="20" t="s">
        <v>38</v>
      </c>
      <c r="C285" s="20" t="s">
        <v>281</v>
      </c>
      <c r="D285" s="22">
        <v>0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8">
        <f>IF(D285=F285+H285+J285,"Correcto","Falso")</f>
      </c>
      <c r="M285" s="28">
        <f>IF(E285=G285+I285+K285,"Correcto","Falso")</f>
      </c>
      <c r="N285" s="29">
        <f>D285-(F285+H285+J285)</f>
      </c>
      <c r="O285" s="29">
        <f>E285-(G285+I285+K285)</f>
      </c>
      <c r="P285" s="30">
        <f>IF(D285&gt;0,F285/D285,0)</f>
      </c>
      <c r="Q285" s="30">
        <f>IF(D285&gt;0,J285/D285,0)</f>
      </c>
    </row>
    <row r="286" spans="1:17" x14ac:dyDescent="0.25">
      <c r="A286" s="20" t="s">
        <v>72</v>
      </c>
      <c r="B286" s="20" t="s">
        <v>38</v>
      </c>
      <c r="C286" s="20" t="s">
        <v>282</v>
      </c>
      <c r="D286" s="22">
        <v>0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8">
        <f>IF(D286=F286+H286+J286,"Correcto","Falso")</f>
      </c>
      <c r="M286" s="28">
        <f>IF(E286=G286+I286+K286,"Correcto","Falso")</f>
      </c>
      <c r="N286" s="29">
        <f>D286-(F286+H286+J286)</f>
      </c>
      <c r="O286" s="29">
        <f>E286-(G286+I286+K286)</f>
      </c>
      <c r="P286" s="30">
        <f>IF(D286&gt;0,F286/D286,0)</f>
      </c>
      <c r="Q286" s="30">
        <f>IF(D286&gt;0,J286/D286,0)</f>
      </c>
    </row>
    <row r="287" spans="1:17" x14ac:dyDescent="0.25">
      <c r="A287" s="20" t="s">
        <v>72</v>
      </c>
      <c r="B287" s="20" t="s">
        <v>38</v>
      </c>
      <c r="C287" s="20" t="s">
        <v>283</v>
      </c>
      <c r="D287" s="22">
        <v>0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8">
        <f>IF(D287=F287+H287+J287,"Correcto","Falso")</f>
      </c>
      <c r="M287" s="28">
        <f>IF(E287=G287+I287+K287,"Correcto","Falso")</f>
      </c>
      <c r="N287" s="29">
        <f>D287-(F287+H287+J287)</f>
      </c>
      <c r="O287" s="29">
        <f>E287-(G287+I287+K287)</f>
      </c>
      <c r="P287" s="30">
        <f>IF(D287&gt;0,F287/D287,0)</f>
      </c>
      <c r="Q287" s="30">
        <f>IF(D287&gt;0,J287/D287,0)</f>
      </c>
    </row>
    <row r="288" spans="1:17" x14ac:dyDescent="0.25">
      <c r="A288" s="20" t="s">
        <v>72</v>
      </c>
      <c r="B288" s="20" t="s">
        <v>38</v>
      </c>
      <c r="C288" s="20" t="s">
        <v>284</v>
      </c>
      <c r="D288" s="22">
        <v>0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8">
        <f>IF(D288=F288+H288+J288,"Correcto","Falso")</f>
      </c>
      <c r="M288" s="28">
        <f>IF(E288=G288+I288+K288,"Correcto","Falso")</f>
      </c>
      <c r="N288" s="29">
        <f>D288-(F288+H288+J288)</f>
      </c>
      <c r="O288" s="29">
        <f>E288-(G288+I288+K288)</f>
      </c>
      <c r="P288" s="30">
        <f>IF(D288&gt;0,F288/D288,0)</f>
      </c>
      <c r="Q288" s="30">
        <f>IF(D288&gt;0,J288/D288,0)</f>
      </c>
    </row>
    <row r="289" spans="1:17" x14ac:dyDescent="0.25">
      <c r="A289" s="20" t="s">
        <v>72</v>
      </c>
      <c r="B289" s="20" t="s">
        <v>38</v>
      </c>
      <c r="C289" s="20" t="s">
        <v>285</v>
      </c>
      <c r="D289" s="22">
        <v>0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8">
        <f>IF(D289=F289+H289+J289,"Correcto","Falso")</f>
      </c>
      <c r="M289" s="28">
        <f>IF(E289=G289+I289+K289,"Correcto","Falso")</f>
      </c>
      <c r="N289" s="29">
        <f>D289-(F289+H289+J289)</f>
      </c>
      <c r="O289" s="29">
        <f>E289-(G289+I289+K289)</f>
      </c>
      <c r="P289" s="30">
        <f>IF(D289&gt;0,F289/D289,0)</f>
      </c>
      <c r="Q289" s="30">
        <f>IF(D289&gt;0,J289/D289,0)</f>
      </c>
    </row>
    <row r="290" spans="1:17" x14ac:dyDescent="0.25">
      <c r="A290" s="20" t="s">
        <v>72</v>
      </c>
      <c r="B290" s="20" t="s">
        <v>38</v>
      </c>
      <c r="C290" s="20" t="s">
        <v>286</v>
      </c>
      <c r="D290" s="22">
        <v>0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8">
        <f>IF(D290=F290+H290+J290,"Correcto","Falso")</f>
      </c>
      <c r="M290" s="28">
        <f>IF(E290=G290+I290+K290,"Correcto","Falso")</f>
      </c>
      <c r="N290" s="29">
        <f>D290-(F290+H290+J290)</f>
      </c>
      <c r="O290" s="29">
        <f>E290-(G290+I290+K290)</f>
      </c>
      <c r="P290" s="30">
        <f>IF(D290&gt;0,F290/D290,0)</f>
      </c>
      <c r="Q290" s="30">
        <f>IF(D290&gt;0,J290/D290,0)</f>
      </c>
    </row>
    <row r="291" spans="1:17" x14ac:dyDescent="0.25">
      <c r="A291" s="20" t="s">
        <v>72</v>
      </c>
      <c r="B291" s="20" t="s">
        <v>38</v>
      </c>
      <c r="C291" s="20" t="s">
        <v>287</v>
      </c>
      <c r="D291" s="22">
        <v>0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8">
        <f>IF(D291=F291+H291+J291,"Correcto","Falso")</f>
      </c>
      <c r="M291" s="28">
        <f>IF(E291=G291+I291+K291,"Correcto","Falso")</f>
      </c>
      <c r="N291" s="29">
        <f>D291-(F291+H291+J291)</f>
      </c>
      <c r="O291" s="29">
        <f>E291-(G291+I291+K291)</f>
      </c>
      <c r="P291" s="30">
        <f>IF(D291&gt;0,F291/D291,0)</f>
      </c>
      <c r="Q291" s="30">
        <f>IF(D291&gt;0,J291/D291,0)</f>
      </c>
    </row>
    <row r="292" spans="1:17" x14ac:dyDescent="0.25">
      <c r="A292" s="20" t="s">
        <v>72</v>
      </c>
      <c r="B292" s="20" t="s">
        <v>38</v>
      </c>
      <c r="C292" s="20" t="s">
        <v>288</v>
      </c>
      <c r="D292" s="22">
        <v>0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8">
        <f>IF(D292=F292+H292+J292,"Correcto","Falso")</f>
      </c>
      <c r="M292" s="28">
        <f>IF(E292=G292+I292+K292,"Correcto","Falso")</f>
      </c>
      <c r="N292" s="29">
        <f>D292-(F292+H292+J292)</f>
      </c>
      <c r="O292" s="29">
        <f>E292-(G292+I292+K292)</f>
      </c>
      <c r="P292" s="30">
        <f>IF(D292&gt;0,F292/D292,0)</f>
      </c>
      <c r="Q292" s="30">
        <f>IF(D292&gt;0,J292/D292,0)</f>
      </c>
    </row>
    <row r="293" spans="1:17" x14ac:dyDescent="0.25">
      <c r="A293" s="20" t="s">
        <v>72</v>
      </c>
      <c r="B293" s="20" t="s">
        <v>38</v>
      </c>
      <c r="C293" s="20" t="s">
        <v>289</v>
      </c>
      <c r="D293" s="22">
        <v>0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8">
        <f>IF(D293=F293+H293+J293,"Correcto","Falso")</f>
      </c>
      <c r="M293" s="28">
        <f>IF(E293=G293+I293+K293,"Correcto","Falso")</f>
      </c>
      <c r="N293" s="29">
        <f>D293-(F293+H293+J293)</f>
      </c>
      <c r="O293" s="29">
        <f>E293-(G293+I293+K293)</f>
      </c>
      <c r="P293" s="30">
        <f>IF(D293&gt;0,F293/D293,0)</f>
      </c>
      <c r="Q293" s="30">
        <f>IF(D293&gt;0,J293/D293,0)</f>
      </c>
    </row>
    <row r="294" spans="1:17" x14ac:dyDescent="0.25">
      <c r="A294" s="20" t="s">
        <v>72</v>
      </c>
      <c r="B294" s="20" t="s">
        <v>38</v>
      </c>
      <c r="C294" s="20" t="s">
        <v>290</v>
      </c>
      <c r="D294" s="22">
        <v>0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8">
        <f>IF(D294=F294+H294+J294,"Correcto","Falso")</f>
      </c>
      <c r="M294" s="28">
        <f>IF(E294=G294+I294+K294,"Correcto","Falso")</f>
      </c>
      <c r="N294" s="29">
        <f>D294-(F294+H294+J294)</f>
      </c>
      <c r="O294" s="29">
        <f>E294-(G294+I294+K294)</f>
      </c>
      <c r="P294" s="30">
        <f>IF(D294&gt;0,F294/D294,0)</f>
      </c>
      <c r="Q294" s="30">
        <f>IF(D294&gt;0,J294/D294,0)</f>
      </c>
    </row>
    <row r="295" spans="1:17" x14ac:dyDescent="0.25">
      <c r="A295" s="20" t="s">
        <v>72</v>
      </c>
      <c r="B295" s="20" t="s">
        <v>39</v>
      </c>
      <c r="C295" s="20" t="s">
        <v>273</v>
      </c>
      <c r="D295" s="22">
        <v>0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8">
        <f>IF(D295=F295+H295+J295,"Correcto","Falso")</f>
      </c>
      <c r="M295" s="28">
        <f>IF(E295=G295+I295+K295,"Correcto","Falso")</f>
      </c>
      <c r="N295" s="29">
        <f>D295-(F295+H295+J295)</f>
      </c>
      <c r="O295" s="29">
        <f>E295-(G295+I295+K295)</f>
      </c>
      <c r="P295" s="30">
        <f>IF(D295&gt;0,F295/D295,0)</f>
      </c>
      <c r="Q295" s="30">
        <f>IF(D295&gt;0,J295/D295,0)</f>
      </c>
    </row>
    <row r="296" spans="1:17" x14ac:dyDescent="0.25">
      <c r="A296" s="20" t="s">
        <v>72</v>
      </c>
      <c r="B296" s="20" t="s">
        <v>39</v>
      </c>
      <c r="C296" s="20" t="s">
        <v>274</v>
      </c>
      <c r="D296" s="22">
        <v>0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8">
        <f>IF(D296=F296+H296+J296,"Correcto","Falso")</f>
      </c>
      <c r="M296" s="28">
        <f>IF(E296=G296+I296+K296,"Correcto","Falso")</f>
      </c>
      <c r="N296" s="29">
        <f>D296-(F296+H296+J296)</f>
      </c>
      <c r="O296" s="29">
        <f>E296-(G296+I296+K296)</f>
      </c>
      <c r="P296" s="30">
        <f>IF(D296&gt;0,F296/D296,0)</f>
      </c>
      <c r="Q296" s="30">
        <f>IF(D296&gt;0,J296/D296,0)</f>
      </c>
    </row>
    <row r="297" spans="1:17" x14ac:dyDescent="0.25">
      <c r="A297" s="20" t="s">
        <v>72</v>
      </c>
      <c r="B297" s="20" t="s">
        <v>39</v>
      </c>
      <c r="C297" s="20" t="s">
        <v>275</v>
      </c>
      <c r="D297" s="22">
        <v>0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8">
        <f>IF(D297=F297+H297+J297,"Correcto","Falso")</f>
      </c>
      <c r="M297" s="28">
        <f>IF(E297=G297+I297+K297,"Correcto","Falso")</f>
      </c>
      <c r="N297" s="29">
        <f>D297-(F297+H297+J297)</f>
      </c>
      <c r="O297" s="29">
        <f>E297-(G297+I297+K297)</f>
      </c>
      <c r="P297" s="30">
        <f>IF(D297&gt;0,F297/D297,0)</f>
      </c>
      <c r="Q297" s="30">
        <f>IF(D297&gt;0,J297/D297,0)</f>
      </c>
    </row>
    <row r="298" spans="1:17" x14ac:dyDescent="0.25">
      <c r="A298" s="20" t="s">
        <v>72</v>
      </c>
      <c r="B298" s="20" t="s">
        <v>39</v>
      </c>
      <c r="C298" s="20" t="s">
        <v>276</v>
      </c>
      <c r="D298" s="22">
        <v>0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8">
        <f>IF(D298=F298+H298+J298,"Correcto","Falso")</f>
      </c>
      <c r="M298" s="28">
        <f>IF(E298=G298+I298+K298,"Correcto","Falso")</f>
      </c>
      <c r="N298" s="29">
        <f>D298-(F298+H298+J298)</f>
      </c>
      <c r="O298" s="29">
        <f>E298-(G298+I298+K298)</f>
      </c>
      <c r="P298" s="30">
        <f>IF(D298&gt;0,F298/D298,0)</f>
      </c>
      <c r="Q298" s="30">
        <f>IF(D298&gt;0,J298/D298,0)</f>
      </c>
    </row>
    <row r="299" spans="1:17" x14ac:dyDescent="0.25">
      <c r="A299" s="20" t="s">
        <v>72</v>
      </c>
      <c r="B299" s="20" t="s">
        <v>39</v>
      </c>
      <c r="C299" s="20" t="s">
        <v>277</v>
      </c>
      <c r="D299" s="22">
        <v>0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8">
        <f>IF(D299=F299+H299+J299,"Correcto","Falso")</f>
      </c>
      <c r="M299" s="28">
        <f>IF(E299=G299+I299+K299,"Correcto","Falso")</f>
      </c>
      <c r="N299" s="29">
        <f>D299-(F299+H299+J299)</f>
      </c>
      <c r="O299" s="29">
        <f>E299-(G299+I299+K299)</f>
      </c>
      <c r="P299" s="30">
        <f>IF(D299&gt;0,F299/D299,0)</f>
      </c>
      <c r="Q299" s="30">
        <f>IF(D299&gt;0,J299/D299,0)</f>
      </c>
    </row>
    <row r="300" spans="1:17" x14ac:dyDescent="0.25">
      <c r="A300" s="20" t="s">
        <v>72</v>
      </c>
      <c r="B300" s="20" t="s">
        <v>39</v>
      </c>
      <c r="C300" s="20" t="s">
        <v>278</v>
      </c>
      <c r="D300" s="22">
        <v>0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8">
        <f>IF(D300=F300+H300+J300,"Correcto","Falso")</f>
      </c>
      <c r="M300" s="28">
        <f>IF(E300=G300+I300+K300,"Correcto","Falso")</f>
      </c>
      <c r="N300" s="29">
        <f>D300-(F300+H300+J300)</f>
      </c>
      <c r="O300" s="29">
        <f>E300-(G300+I300+K300)</f>
      </c>
      <c r="P300" s="30">
        <f>IF(D300&gt;0,F300/D300,0)</f>
      </c>
      <c r="Q300" s="30">
        <f>IF(D300&gt;0,J300/D300,0)</f>
      </c>
    </row>
    <row r="301" spans="1:17" x14ac:dyDescent="0.25">
      <c r="A301" s="20" t="s">
        <v>72</v>
      </c>
      <c r="B301" s="20" t="s">
        <v>39</v>
      </c>
      <c r="C301" s="20" t="s">
        <v>279</v>
      </c>
      <c r="D301" s="22">
        <v>0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8">
        <f>IF(D301=F301+H301+J301,"Correcto","Falso")</f>
      </c>
      <c r="M301" s="28">
        <f>IF(E301=G301+I301+K301,"Correcto","Falso")</f>
      </c>
      <c r="N301" s="29">
        <f>D301-(F301+H301+J301)</f>
      </c>
      <c r="O301" s="29">
        <f>E301-(G301+I301+K301)</f>
      </c>
      <c r="P301" s="30">
        <f>IF(D301&gt;0,F301/D301,0)</f>
      </c>
      <c r="Q301" s="30">
        <f>IF(D301&gt;0,J301/D301,0)</f>
      </c>
    </row>
    <row r="302" spans="1:17" x14ac:dyDescent="0.25">
      <c r="A302" s="20" t="s">
        <v>72</v>
      </c>
      <c r="B302" s="20" t="s">
        <v>39</v>
      </c>
      <c r="C302" s="20" t="s">
        <v>280</v>
      </c>
      <c r="D302" s="22">
        <v>0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8">
        <f>IF(D302=F302+H302+J302,"Correcto","Falso")</f>
      </c>
      <c r="M302" s="28">
        <f>IF(E302=G302+I302+K302,"Correcto","Falso")</f>
      </c>
      <c r="N302" s="29">
        <f>D302-(F302+H302+J302)</f>
      </c>
      <c r="O302" s="29">
        <f>E302-(G302+I302+K302)</f>
      </c>
      <c r="P302" s="30">
        <f>IF(D302&gt;0,F302/D302,0)</f>
      </c>
      <c r="Q302" s="30">
        <f>IF(D302&gt;0,J302/D302,0)</f>
      </c>
    </row>
    <row r="303" spans="1:17" x14ac:dyDescent="0.25">
      <c r="A303" s="20" t="s">
        <v>72</v>
      </c>
      <c r="B303" s="20" t="s">
        <v>39</v>
      </c>
      <c r="C303" s="20" t="s">
        <v>281</v>
      </c>
      <c r="D303" s="22">
        <v>0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8">
        <f>IF(D303=F303+H303+J303,"Correcto","Falso")</f>
      </c>
      <c r="M303" s="28">
        <f>IF(E303=G303+I303+K303,"Correcto","Falso")</f>
      </c>
      <c r="N303" s="29">
        <f>D303-(F303+H303+J303)</f>
      </c>
      <c r="O303" s="29">
        <f>E303-(G303+I303+K303)</f>
      </c>
      <c r="P303" s="30">
        <f>IF(D303&gt;0,F303/D303,0)</f>
      </c>
      <c r="Q303" s="30">
        <f>IF(D303&gt;0,J303/D303,0)</f>
      </c>
    </row>
    <row r="304" spans="1:17" x14ac:dyDescent="0.25">
      <c r="A304" s="20" t="s">
        <v>72</v>
      </c>
      <c r="B304" s="20" t="s">
        <v>39</v>
      </c>
      <c r="C304" s="20" t="s">
        <v>282</v>
      </c>
      <c r="D304" s="22">
        <v>0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8">
        <f>IF(D304=F304+H304+J304,"Correcto","Falso")</f>
      </c>
      <c r="M304" s="28">
        <f>IF(E304=G304+I304+K304,"Correcto","Falso")</f>
      </c>
      <c r="N304" s="29">
        <f>D304-(F304+H304+J304)</f>
      </c>
      <c r="O304" s="29">
        <f>E304-(G304+I304+K304)</f>
      </c>
      <c r="P304" s="30">
        <f>IF(D304&gt;0,F304/D304,0)</f>
      </c>
      <c r="Q304" s="30">
        <f>IF(D304&gt;0,J304/D304,0)</f>
      </c>
    </row>
    <row r="305" spans="1:17" x14ac:dyDescent="0.25">
      <c r="A305" s="20" t="s">
        <v>72</v>
      </c>
      <c r="B305" s="20" t="s">
        <v>39</v>
      </c>
      <c r="C305" s="20" t="s">
        <v>283</v>
      </c>
      <c r="D305" s="22">
        <v>0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8">
        <f>IF(D305=F305+H305+J305,"Correcto","Falso")</f>
      </c>
      <c r="M305" s="28">
        <f>IF(E305=G305+I305+K305,"Correcto","Falso")</f>
      </c>
      <c r="N305" s="29">
        <f>D305-(F305+H305+J305)</f>
      </c>
      <c r="O305" s="29">
        <f>E305-(G305+I305+K305)</f>
      </c>
      <c r="P305" s="30">
        <f>IF(D305&gt;0,F305/D305,0)</f>
      </c>
      <c r="Q305" s="30">
        <f>IF(D305&gt;0,J305/D305,0)</f>
      </c>
    </row>
    <row r="306" spans="1:17" x14ac:dyDescent="0.25">
      <c r="A306" s="20" t="s">
        <v>72</v>
      </c>
      <c r="B306" s="20" t="s">
        <v>39</v>
      </c>
      <c r="C306" s="20" t="s">
        <v>284</v>
      </c>
      <c r="D306" s="22">
        <v>0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8">
        <f>IF(D306=F306+H306+J306,"Correcto","Falso")</f>
      </c>
      <c r="M306" s="28">
        <f>IF(E306=G306+I306+K306,"Correcto","Falso")</f>
      </c>
      <c r="N306" s="29">
        <f>D306-(F306+H306+J306)</f>
      </c>
      <c r="O306" s="29">
        <f>E306-(G306+I306+K306)</f>
      </c>
      <c r="P306" s="30">
        <f>IF(D306&gt;0,F306/D306,0)</f>
      </c>
      <c r="Q306" s="30">
        <f>IF(D306&gt;0,J306/D306,0)</f>
      </c>
    </row>
    <row r="307" spans="1:17" x14ac:dyDescent="0.25">
      <c r="A307" s="20" t="s">
        <v>72</v>
      </c>
      <c r="B307" s="20" t="s">
        <v>39</v>
      </c>
      <c r="C307" s="20" t="s">
        <v>285</v>
      </c>
      <c r="D307" s="22">
        <v>0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8">
        <f>IF(D307=F307+H307+J307,"Correcto","Falso")</f>
      </c>
      <c r="M307" s="28">
        <f>IF(E307=G307+I307+K307,"Correcto","Falso")</f>
      </c>
      <c r="N307" s="29">
        <f>D307-(F307+H307+J307)</f>
      </c>
      <c r="O307" s="29">
        <f>E307-(G307+I307+K307)</f>
      </c>
      <c r="P307" s="30">
        <f>IF(D307&gt;0,F307/D307,0)</f>
      </c>
      <c r="Q307" s="30">
        <f>IF(D307&gt;0,J307/D307,0)</f>
      </c>
    </row>
    <row r="308" spans="1:17" x14ac:dyDescent="0.25">
      <c r="A308" s="20" t="s">
        <v>72</v>
      </c>
      <c r="B308" s="20" t="s">
        <v>39</v>
      </c>
      <c r="C308" s="20" t="s">
        <v>286</v>
      </c>
      <c r="D308" s="22">
        <v>0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8">
        <f>IF(D308=F308+H308+J308,"Correcto","Falso")</f>
      </c>
      <c r="M308" s="28">
        <f>IF(E308=G308+I308+K308,"Correcto","Falso")</f>
      </c>
      <c r="N308" s="29">
        <f>D308-(F308+H308+J308)</f>
      </c>
      <c r="O308" s="29">
        <f>E308-(G308+I308+K308)</f>
      </c>
      <c r="P308" s="30">
        <f>IF(D308&gt;0,F308/D308,0)</f>
      </c>
      <c r="Q308" s="30">
        <f>IF(D308&gt;0,J308/D308,0)</f>
      </c>
    </row>
    <row r="309" spans="1:17" x14ac:dyDescent="0.25">
      <c r="A309" s="20" t="s">
        <v>72</v>
      </c>
      <c r="B309" s="20" t="s">
        <v>39</v>
      </c>
      <c r="C309" s="20" t="s">
        <v>287</v>
      </c>
      <c r="D309" s="22">
        <v>0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8">
        <f>IF(D309=F309+H309+J309,"Correcto","Falso")</f>
      </c>
      <c r="M309" s="28">
        <f>IF(E309=G309+I309+K309,"Correcto","Falso")</f>
      </c>
      <c r="N309" s="29">
        <f>D309-(F309+H309+J309)</f>
      </c>
      <c r="O309" s="29">
        <f>E309-(G309+I309+K309)</f>
      </c>
      <c r="P309" s="30">
        <f>IF(D309&gt;0,F309/D309,0)</f>
      </c>
      <c r="Q309" s="30">
        <f>IF(D309&gt;0,J309/D309,0)</f>
      </c>
    </row>
    <row r="310" spans="1:17" x14ac:dyDescent="0.25">
      <c r="A310" s="20" t="s">
        <v>72</v>
      </c>
      <c r="B310" s="20" t="s">
        <v>39</v>
      </c>
      <c r="C310" s="20" t="s">
        <v>288</v>
      </c>
      <c r="D310" s="22">
        <v>0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  <c r="J310" s="22">
        <v>0</v>
      </c>
      <c r="K310" s="22">
        <v>0</v>
      </c>
      <c r="L310" s="28">
        <f>IF(D310=F310+H310+J310,"Correcto","Falso")</f>
      </c>
      <c r="M310" s="28">
        <f>IF(E310=G310+I310+K310,"Correcto","Falso")</f>
      </c>
      <c r="N310" s="29">
        <f>D310-(F310+H310+J310)</f>
      </c>
      <c r="O310" s="29">
        <f>E310-(G310+I310+K310)</f>
      </c>
      <c r="P310" s="30">
        <f>IF(D310&gt;0,F310/D310,0)</f>
      </c>
      <c r="Q310" s="30">
        <f>IF(D310&gt;0,J310/D310,0)</f>
      </c>
    </row>
    <row r="311" spans="1:17" x14ac:dyDescent="0.25">
      <c r="A311" s="20" t="s">
        <v>72</v>
      </c>
      <c r="B311" s="20" t="s">
        <v>39</v>
      </c>
      <c r="C311" s="20" t="s">
        <v>289</v>
      </c>
      <c r="D311" s="22">
        <v>0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  <c r="K311" s="22">
        <v>0</v>
      </c>
      <c r="L311" s="28">
        <f>IF(D311=F311+H311+J311,"Correcto","Falso")</f>
      </c>
      <c r="M311" s="28">
        <f>IF(E311=G311+I311+K311,"Correcto","Falso")</f>
      </c>
      <c r="N311" s="29">
        <f>D311-(F311+H311+J311)</f>
      </c>
      <c r="O311" s="29">
        <f>E311-(G311+I311+K311)</f>
      </c>
      <c r="P311" s="30">
        <f>IF(D311&gt;0,F311/D311,0)</f>
      </c>
      <c r="Q311" s="30">
        <f>IF(D311&gt;0,J311/D311,0)</f>
      </c>
    </row>
    <row r="312" spans="1:17" x14ac:dyDescent="0.25">
      <c r="A312" s="20" t="s">
        <v>72</v>
      </c>
      <c r="B312" s="20" t="s">
        <v>39</v>
      </c>
      <c r="C312" s="20" t="s">
        <v>290</v>
      </c>
      <c r="D312" s="22">
        <v>0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22">
        <v>0</v>
      </c>
      <c r="L312" s="28">
        <f>IF(D312=F312+H312+J312,"Correcto","Falso")</f>
      </c>
      <c r="M312" s="28">
        <f>IF(E312=G312+I312+K312,"Correcto","Falso")</f>
      </c>
      <c r="N312" s="29">
        <f>D312-(F312+H312+J312)</f>
      </c>
      <c r="O312" s="29">
        <f>E312-(G312+I312+K312)</f>
      </c>
      <c r="P312" s="30">
        <f>IF(D312&gt;0,F312/D312,0)</f>
      </c>
      <c r="Q312" s="30">
        <f>IF(D312&gt;0,J312/D312,0)</f>
      </c>
    </row>
    <row r="313" spans="1:17" x14ac:dyDescent="0.25">
      <c r="A313" s="20" t="s">
        <v>72</v>
      </c>
      <c r="B313" s="20" t="s">
        <v>40</v>
      </c>
      <c r="C313" s="20" t="s">
        <v>273</v>
      </c>
      <c r="D313" s="22">
        <v>0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  <c r="J313" s="22">
        <v>0</v>
      </c>
      <c r="K313" s="22">
        <v>0</v>
      </c>
      <c r="L313" s="28">
        <f>IF(D313=F313+H313+J313,"Correcto","Falso")</f>
      </c>
      <c r="M313" s="28">
        <f>IF(E313=G313+I313+K313,"Correcto","Falso")</f>
      </c>
      <c r="N313" s="29">
        <f>D313-(F313+H313+J313)</f>
      </c>
      <c r="O313" s="29">
        <f>E313-(G313+I313+K313)</f>
      </c>
      <c r="P313" s="30">
        <f>IF(D313&gt;0,F313/D313,0)</f>
      </c>
      <c r="Q313" s="30">
        <f>IF(D313&gt;0,J313/D313,0)</f>
      </c>
    </row>
    <row r="314" spans="1:17" x14ac:dyDescent="0.25">
      <c r="A314" s="20" t="s">
        <v>72</v>
      </c>
      <c r="B314" s="20" t="s">
        <v>40</v>
      </c>
      <c r="C314" s="20" t="s">
        <v>274</v>
      </c>
      <c r="D314" s="22">
        <v>0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8">
        <f>IF(D314=F314+H314+J314,"Correcto","Falso")</f>
      </c>
      <c r="M314" s="28">
        <f>IF(E314=G314+I314+K314,"Correcto","Falso")</f>
      </c>
      <c r="N314" s="29">
        <f>D314-(F314+H314+J314)</f>
      </c>
      <c r="O314" s="29">
        <f>E314-(G314+I314+K314)</f>
      </c>
      <c r="P314" s="30">
        <f>IF(D314&gt;0,F314/D314,0)</f>
      </c>
      <c r="Q314" s="30">
        <f>IF(D314&gt;0,J314/D314,0)</f>
      </c>
    </row>
    <row r="315" spans="1:17" x14ac:dyDescent="0.25">
      <c r="A315" s="20" t="s">
        <v>72</v>
      </c>
      <c r="B315" s="20" t="s">
        <v>40</v>
      </c>
      <c r="C315" s="20" t="s">
        <v>275</v>
      </c>
      <c r="D315" s="22">
        <v>0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  <c r="J315" s="22">
        <v>0</v>
      </c>
      <c r="K315" s="22">
        <v>0</v>
      </c>
      <c r="L315" s="28">
        <f>IF(D315=F315+H315+J315,"Correcto","Falso")</f>
      </c>
      <c r="M315" s="28">
        <f>IF(E315=G315+I315+K315,"Correcto","Falso")</f>
      </c>
      <c r="N315" s="29">
        <f>D315-(F315+H315+J315)</f>
      </c>
      <c r="O315" s="29">
        <f>E315-(G315+I315+K315)</f>
      </c>
      <c r="P315" s="30">
        <f>IF(D315&gt;0,F315/D315,0)</f>
      </c>
      <c r="Q315" s="30">
        <f>IF(D315&gt;0,J315/D315,0)</f>
      </c>
    </row>
    <row r="316" spans="1:17" x14ac:dyDescent="0.25">
      <c r="A316" s="20" t="s">
        <v>72</v>
      </c>
      <c r="B316" s="20" t="s">
        <v>40</v>
      </c>
      <c r="C316" s="20" t="s">
        <v>276</v>
      </c>
      <c r="D316" s="22">
        <v>0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  <c r="J316" s="22">
        <v>0</v>
      </c>
      <c r="K316" s="22">
        <v>0</v>
      </c>
      <c r="L316" s="28">
        <f>IF(D316=F316+H316+J316,"Correcto","Falso")</f>
      </c>
      <c r="M316" s="28">
        <f>IF(E316=G316+I316+K316,"Correcto","Falso")</f>
      </c>
      <c r="N316" s="29">
        <f>D316-(F316+H316+J316)</f>
      </c>
      <c r="O316" s="29">
        <f>E316-(G316+I316+K316)</f>
      </c>
      <c r="P316" s="30">
        <f>IF(D316&gt;0,F316/D316,0)</f>
      </c>
      <c r="Q316" s="30">
        <f>IF(D316&gt;0,J316/D316,0)</f>
      </c>
    </row>
    <row r="317" spans="1:17" x14ac:dyDescent="0.25">
      <c r="A317" s="20" t="s">
        <v>72</v>
      </c>
      <c r="B317" s="20" t="s">
        <v>40</v>
      </c>
      <c r="C317" s="20" t="s">
        <v>277</v>
      </c>
      <c r="D317" s="22">
        <v>0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8">
        <f>IF(D317=F317+H317+J317,"Correcto","Falso")</f>
      </c>
      <c r="M317" s="28">
        <f>IF(E317=G317+I317+K317,"Correcto","Falso")</f>
      </c>
      <c r="N317" s="29">
        <f>D317-(F317+H317+J317)</f>
      </c>
      <c r="O317" s="29">
        <f>E317-(G317+I317+K317)</f>
      </c>
      <c r="P317" s="30">
        <f>IF(D317&gt;0,F317/D317,0)</f>
      </c>
      <c r="Q317" s="30">
        <f>IF(D317&gt;0,J317/D317,0)</f>
      </c>
    </row>
    <row r="318" spans="1:17" x14ac:dyDescent="0.25">
      <c r="A318" s="20" t="s">
        <v>72</v>
      </c>
      <c r="B318" s="20" t="s">
        <v>40</v>
      </c>
      <c r="C318" s="20" t="s">
        <v>278</v>
      </c>
      <c r="D318" s="22">
        <v>0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  <c r="K318" s="22">
        <v>0</v>
      </c>
      <c r="L318" s="28">
        <f>IF(D318=F318+H318+J318,"Correcto","Falso")</f>
      </c>
      <c r="M318" s="28">
        <f>IF(E318=G318+I318+K318,"Correcto","Falso")</f>
      </c>
      <c r="N318" s="29">
        <f>D318-(F318+H318+J318)</f>
      </c>
      <c r="O318" s="29">
        <f>E318-(G318+I318+K318)</f>
      </c>
      <c r="P318" s="30">
        <f>IF(D318&gt;0,F318/D318,0)</f>
      </c>
      <c r="Q318" s="30">
        <f>IF(D318&gt;0,J318/D318,0)</f>
      </c>
    </row>
    <row r="319" spans="1:17" x14ac:dyDescent="0.25">
      <c r="A319" s="20" t="s">
        <v>72</v>
      </c>
      <c r="B319" s="20" t="s">
        <v>40</v>
      </c>
      <c r="C319" s="20" t="s">
        <v>279</v>
      </c>
      <c r="D319" s="22">
        <v>0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  <c r="J319" s="22">
        <v>0</v>
      </c>
      <c r="K319" s="22">
        <v>0</v>
      </c>
      <c r="L319" s="28">
        <f>IF(D319=F319+H319+J319,"Correcto","Falso")</f>
      </c>
      <c r="M319" s="28">
        <f>IF(E319=G319+I319+K319,"Correcto","Falso")</f>
      </c>
      <c r="N319" s="29">
        <f>D319-(F319+H319+J319)</f>
      </c>
      <c r="O319" s="29">
        <f>E319-(G319+I319+K319)</f>
      </c>
      <c r="P319" s="30">
        <f>IF(D319&gt;0,F319/D319,0)</f>
      </c>
      <c r="Q319" s="30">
        <f>IF(D319&gt;0,J319/D319,0)</f>
      </c>
    </row>
    <row r="320" spans="1:17" x14ac:dyDescent="0.25">
      <c r="A320" s="20" t="s">
        <v>72</v>
      </c>
      <c r="B320" s="20" t="s">
        <v>40</v>
      </c>
      <c r="C320" s="20" t="s">
        <v>280</v>
      </c>
      <c r="D320" s="22">
        <v>0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8">
        <f>IF(D320=F320+H320+J320,"Correcto","Falso")</f>
      </c>
      <c r="M320" s="28">
        <f>IF(E320=G320+I320+K320,"Correcto","Falso")</f>
      </c>
      <c r="N320" s="29">
        <f>D320-(F320+H320+J320)</f>
      </c>
      <c r="O320" s="29">
        <f>E320-(G320+I320+K320)</f>
      </c>
      <c r="P320" s="30">
        <f>IF(D320&gt;0,F320/D320,0)</f>
      </c>
      <c r="Q320" s="30">
        <f>IF(D320&gt;0,J320/D320,0)</f>
      </c>
    </row>
    <row r="321" spans="1:17" x14ac:dyDescent="0.25">
      <c r="A321" s="20" t="s">
        <v>72</v>
      </c>
      <c r="B321" s="20" t="s">
        <v>40</v>
      </c>
      <c r="C321" s="20" t="s">
        <v>281</v>
      </c>
      <c r="D321" s="22">
        <v>0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  <c r="J321" s="22">
        <v>0</v>
      </c>
      <c r="K321" s="22">
        <v>0</v>
      </c>
      <c r="L321" s="28">
        <f>IF(D321=F321+H321+J321,"Correcto","Falso")</f>
      </c>
      <c r="M321" s="28">
        <f>IF(E321=G321+I321+K321,"Correcto","Falso")</f>
      </c>
      <c r="N321" s="29">
        <f>D321-(F321+H321+J321)</f>
      </c>
      <c r="O321" s="29">
        <f>E321-(G321+I321+K321)</f>
      </c>
      <c r="P321" s="30">
        <f>IF(D321&gt;0,F321/D321,0)</f>
      </c>
      <c r="Q321" s="30">
        <f>IF(D321&gt;0,J321/D321,0)</f>
      </c>
    </row>
    <row r="322" spans="1:17" x14ac:dyDescent="0.25">
      <c r="A322" s="20" t="s">
        <v>72</v>
      </c>
      <c r="B322" s="20" t="s">
        <v>40</v>
      </c>
      <c r="C322" s="20" t="s">
        <v>282</v>
      </c>
      <c r="D322" s="22">
        <v>0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8">
        <f>IF(D322=F322+H322+J322,"Correcto","Falso")</f>
      </c>
      <c r="M322" s="28">
        <f>IF(E322=G322+I322+K322,"Correcto","Falso")</f>
      </c>
      <c r="N322" s="29">
        <f>D322-(F322+H322+J322)</f>
      </c>
      <c r="O322" s="29">
        <f>E322-(G322+I322+K322)</f>
      </c>
      <c r="P322" s="30">
        <f>IF(D322&gt;0,F322/D322,0)</f>
      </c>
      <c r="Q322" s="30">
        <f>IF(D322&gt;0,J322/D322,0)</f>
      </c>
    </row>
    <row r="323" spans="1:17" x14ac:dyDescent="0.25">
      <c r="A323" s="20" t="s">
        <v>72</v>
      </c>
      <c r="B323" s="20" t="s">
        <v>40</v>
      </c>
      <c r="C323" s="20" t="s">
        <v>283</v>
      </c>
      <c r="D323" s="22">
        <v>0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  <c r="J323" s="22">
        <v>0</v>
      </c>
      <c r="K323" s="22">
        <v>0</v>
      </c>
      <c r="L323" s="28">
        <f>IF(D323=F323+H323+J323,"Correcto","Falso")</f>
      </c>
      <c r="M323" s="28">
        <f>IF(E323=G323+I323+K323,"Correcto","Falso")</f>
      </c>
      <c r="N323" s="29">
        <f>D323-(F323+H323+J323)</f>
      </c>
      <c r="O323" s="29">
        <f>E323-(G323+I323+K323)</f>
      </c>
      <c r="P323" s="30">
        <f>IF(D323&gt;0,F323/D323,0)</f>
      </c>
      <c r="Q323" s="30">
        <f>IF(D323&gt;0,J323/D323,0)</f>
      </c>
    </row>
    <row r="324" spans="1:17" x14ac:dyDescent="0.25">
      <c r="A324" s="20" t="s">
        <v>72</v>
      </c>
      <c r="B324" s="20" t="s">
        <v>40</v>
      </c>
      <c r="C324" s="20" t="s">
        <v>284</v>
      </c>
      <c r="D324" s="22">
        <v>0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  <c r="J324" s="22">
        <v>0</v>
      </c>
      <c r="K324" s="22">
        <v>0</v>
      </c>
      <c r="L324" s="28">
        <f>IF(D324=F324+H324+J324,"Correcto","Falso")</f>
      </c>
      <c r="M324" s="28">
        <f>IF(E324=G324+I324+K324,"Correcto","Falso")</f>
      </c>
      <c r="N324" s="29">
        <f>D324-(F324+H324+J324)</f>
      </c>
      <c r="O324" s="29">
        <f>E324-(G324+I324+K324)</f>
      </c>
      <c r="P324" s="30">
        <f>IF(D324&gt;0,F324/D324,0)</f>
      </c>
      <c r="Q324" s="30">
        <f>IF(D324&gt;0,J324/D324,0)</f>
      </c>
    </row>
    <row r="325" spans="1:17" x14ac:dyDescent="0.25">
      <c r="A325" s="20" t="s">
        <v>72</v>
      </c>
      <c r="B325" s="20" t="s">
        <v>40</v>
      </c>
      <c r="C325" s="20" t="s">
        <v>285</v>
      </c>
      <c r="D325" s="22">
        <v>0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8">
        <f>IF(D325=F325+H325+J325,"Correcto","Falso")</f>
      </c>
      <c r="M325" s="28">
        <f>IF(E325=G325+I325+K325,"Correcto","Falso")</f>
      </c>
      <c r="N325" s="29">
        <f>D325-(F325+H325+J325)</f>
      </c>
      <c r="O325" s="29">
        <f>E325-(G325+I325+K325)</f>
      </c>
      <c r="P325" s="30">
        <f>IF(D325&gt;0,F325/D325,0)</f>
      </c>
      <c r="Q325" s="30">
        <f>IF(D325&gt;0,J325/D325,0)</f>
      </c>
    </row>
    <row r="326" spans="1:17" x14ac:dyDescent="0.25">
      <c r="A326" s="20" t="s">
        <v>72</v>
      </c>
      <c r="B326" s="20" t="s">
        <v>40</v>
      </c>
      <c r="C326" s="20" t="s">
        <v>286</v>
      </c>
      <c r="D326" s="22">
        <v>0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  <c r="J326" s="22">
        <v>0</v>
      </c>
      <c r="K326" s="22">
        <v>0</v>
      </c>
      <c r="L326" s="28">
        <f>IF(D326=F326+H326+J326,"Correcto","Falso")</f>
      </c>
      <c r="M326" s="28">
        <f>IF(E326=G326+I326+K326,"Correcto","Falso")</f>
      </c>
      <c r="N326" s="29">
        <f>D326-(F326+H326+J326)</f>
      </c>
      <c r="O326" s="29">
        <f>E326-(G326+I326+K326)</f>
      </c>
      <c r="P326" s="30">
        <f>IF(D326&gt;0,F326/D326,0)</f>
      </c>
      <c r="Q326" s="30">
        <f>IF(D326&gt;0,J326/D326,0)</f>
      </c>
    </row>
    <row r="327" spans="1:16" x14ac:dyDescent="0.25">
      <c r="A327" s="23" t="s">
        <v>79</v>
      </c>
      <c r="B327" s="23" t="s">
        <v>11</v>
      </c>
      <c r="C327" s="23" t="s">
        <v>291</v>
      </c>
      <c r="D327" s="24">
        <f>SUM(D277:D326)</f>
      </c>
      <c r="E327" s="24">
        <f>SUM(E277:E326)</f>
      </c>
      <c r="F327" s="24">
        <f>SUM(F277:F326)</f>
      </c>
      <c r="G327" s="24">
        <f>SUM(G277:G326)</f>
      </c>
      <c r="H327" s="24">
        <f>SUM(H277:H326)</f>
      </c>
      <c r="I327" s="24">
        <f>SUM(I277:I326)</f>
      </c>
      <c r="J327" s="24">
        <f>SUM(J277:J326)</f>
      </c>
      <c r="K327" s="24">
        <f>SUM(K277:K326)</f>
      </c>
      <c r="L327" s="31">
        <f>IF(D327=F327+H327+J327,"Correcto","Falso")</f>
      </c>
      <c r="M327" s="31">
        <f>IF(E327=G327+I327+K327,"Correcto","Falso")</f>
      </c>
      <c r="N327" s="32">
        <f>D327-(F327+H327+J327)</f>
      </c>
      <c r="O327" s="33">
        <f>IF(D327&gt;0,F327/D327,0)</f>
      </c>
      <c r="P327" s="33">
        <f>IF(D327&gt;0,J327/D327,0)</f>
      </c>
    </row>
    <row r="329" spans="1:17" x14ac:dyDescent="0.25">
      <c r="A329" s="20" t="s">
        <v>292</v>
      </c>
      <c r="B329" s="20" t="s">
        <v>38</v>
      </c>
      <c r="C329" s="20" t="s">
        <v>293</v>
      </c>
      <c r="D329" s="22">
        <v>0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8">
        <f>IF(D329=F329+H329+J329,"Correcto","Falso")</f>
      </c>
      <c r="M329" s="28">
        <f>IF(E329=G329+I329+K329,"Correcto","Falso")</f>
      </c>
      <c r="N329" s="29">
        <f>D329-(F329+H329+J329)</f>
      </c>
      <c r="O329" s="29">
        <f>E329-(G329+I329+K329)</f>
      </c>
      <c r="P329" s="30">
        <f>IF(D329&gt;0,F329/D329,0)</f>
      </c>
      <c r="Q329" s="30">
        <f>IF(D329&gt;0,J329/D329,0)</f>
      </c>
    </row>
    <row r="330" spans="1:17" x14ac:dyDescent="0.25">
      <c r="A330" s="20" t="s">
        <v>292</v>
      </c>
      <c r="B330" s="20" t="s">
        <v>38</v>
      </c>
      <c r="C330" s="20" t="s">
        <v>294</v>
      </c>
      <c r="D330" s="22">
        <v>0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8">
        <f>IF(D330=F330+H330+J330,"Correcto","Falso")</f>
      </c>
      <c r="M330" s="28">
        <f>IF(E330=G330+I330+K330,"Correcto","Falso")</f>
      </c>
      <c r="N330" s="29">
        <f>D330-(F330+H330+J330)</f>
      </c>
      <c r="O330" s="29">
        <f>E330-(G330+I330+K330)</f>
      </c>
      <c r="P330" s="30">
        <f>IF(D330&gt;0,F330/D330,0)</f>
      </c>
      <c r="Q330" s="30">
        <f>IF(D330&gt;0,J330/D330,0)</f>
      </c>
    </row>
    <row r="331" spans="1:17" x14ac:dyDescent="0.25">
      <c r="A331" s="20" t="s">
        <v>292</v>
      </c>
      <c r="B331" s="20" t="s">
        <v>38</v>
      </c>
      <c r="C331" s="20" t="s">
        <v>295</v>
      </c>
      <c r="D331" s="22">
        <v>0</v>
      </c>
      <c r="E331" s="22">
        <v>0</v>
      </c>
      <c r="F331" s="22">
        <v>0</v>
      </c>
      <c r="G331" s="22">
        <v>0</v>
      </c>
      <c r="H331" s="22">
        <v>0</v>
      </c>
      <c r="I331" s="22">
        <v>0</v>
      </c>
      <c r="J331" s="22">
        <v>0</v>
      </c>
      <c r="K331" s="22">
        <v>0</v>
      </c>
      <c r="L331" s="28">
        <f>IF(D331=F331+H331+J331,"Correcto","Falso")</f>
      </c>
      <c r="M331" s="28">
        <f>IF(E331=G331+I331+K331,"Correcto","Falso")</f>
      </c>
      <c r="N331" s="29">
        <f>D331-(F331+H331+J331)</f>
      </c>
      <c r="O331" s="29">
        <f>E331-(G331+I331+K331)</f>
      </c>
      <c r="P331" s="30">
        <f>IF(D331&gt;0,F331/D331,0)</f>
      </c>
      <c r="Q331" s="30">
        <f>IF(D331&gt;0,J331/D331,0)</f>
      </c>
    </row>
    <row r="332" spans="1:17" x14ac:dyDescent="0.25">
      <c r="A332" s="20" t="s">
        <v>292</v>
      </c>
      <c r="B332" s="20" t="s">
        <v>38</v>
      </c>
      <c r="C332" s="20" t="s">
        <v>296</v>
      </c>
      <c r="D332" s="22">
        <v>0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  <c r="J332" s="22">
        <v>0</v>
      </c>
      <c r="K332" s="22">
        <v>0</v>
      </c>
      <c r="L332" s="28">
        <f>IF(D332=F332+H332+J332,"Correcto","Falso")</f>
      </c>
      <c r="M332" s="28">
        <f>IF(E332=G332+I332+K332,"Correcto","Falso")</f>
      </c>
      <c r="N332" s="29">
        <f>D332-(F332+H332+J332)</f>
      </c>
      <c r="O332" s="29">
        <f>E332-(G332+I332+K332)</f>
      </c>
      <c r="P332" s="30">
        <f>IF(D332&gt;0,F332/D332,0)</f>
      </c>
      <c r="Q332" s="30">
        <f>IF(D332&gt;0,J332/D332,0)</f>
      </c>
    </row>
    <row r="333" spans="1:17" x14ac:dyDescent="0.25">
      <c r="A333" s="20" t="s">
        <v>292</v>
      </c>
      <c r="B333" s="20" t="s">
        <v>38</v>
      </c>
      <c r="C333" s="20" t="s">
        <v>297</v>
      </c>
      <c r="D333" s="22">
        <v>0</v>
      </c>
      <c r="E333" s="22">
        <v>0</v>
      </c>
      <c r="F333" s="22">
        <v>0</v>
      </c>
      <c r="G333" s="22">
        <v>0</v>
      </c>
      <c r="H333" s="22">
        <v>0</v>
      </c>
      <c r="I333" s="22">
        <v>0</v>
      </c>
      <c r="J333" s="22">
        <v>0</v>
      </c>
      <c r="K333" s="22">
        <v>0</v>
      </c>
      <c r="L333" s="28">
        <f>IF(D333=F333+H333+J333,"Correcto","Falso")</f>
      </c>
      <c r="M333" s="28">
        <f>IF(E333=G333+I333+K333,"Correcto","Falso")</f>
      </c>
      <c r="N333" s="29">
        <f>D333-(F333+H333+J333)</f>
      </c>
      <c r="O333" s="29">
        <f>E333-(G333+I333+K333)</f>
      </c>
      <c r="P333" s="30">
        <f>IF(D333&gt;0,F333/D333,0)</f>
      </c>
      <c r="Q333" s="30">
        <f>IF(D333&gt;0,J333/D333,0)</f>
      </c>
    </row>
    <row r="334" spans="1:17" x14ac:dyDescent="0.25">
      <c r="A334" s="20" t="s">
        <v>292</v>
      </c>
      <c r="B334" s="20" t="s">
        <v>38</v>
      </c>
      <c r="C334" s="20" t="s">
        <v>298</v>
      </c>
      <c r="D334" s="22">
        <v>0</v>
      </c>
      <c r="E334" s="22">
        <v>0</v>
      </c>
      <c r="F334" s="22">
        <v>0</v>
      </c>
      <c r="G334" s="22">
        <v>0</v>
      </c>
      <c r="H334" s="22">
        <v>0</v>
      </c>
      <c r="I334" s="22">
        <v>0</v>
      </c>
      <c r="J334" s="22">
        <v>0</v>
      </c>
      <c r="K334" s="22">
        <v>0</v>
      </c>
      <c r="L334" s="28">
        <f>IF(D334=F334+H334+J334,"Correcto","Falso")</f>
      </c>
      <c r="M334" s="28">
        <f>IF(E334=G334+I334+K334,"Correcto","Falso")</f>
      </c>
      <c r="N334" s="29">
        <f>D334-(F334+H334+J334)</f>
      </c>
      <c r="O334" s="29">
        <f>E334-(G334+I334+K334)</f>
      </c>
      <c r="P334" s="30">
        <f>IF(D334&gt;0,F334/D334,0)</f>
      </c>
      <c r="Q334" s="30">
        <f>IF(D334&gt;0,J334/D334,0)</f>
      </c>
    </row>
    <row r="335" spans="1:17" x14ac:dyDescent="0.25">
      <c r="A335" s="20" t="s">
        <v>292</v>
      </c>
      <c r="B335" s="20" t="s">
        <v>38</v>
      </c>
      <c r="C335" s="20" t="s">
        <v>299</v>
      </c>
      <c r="D335" s="22">
        <v>0</v>
      </c>
      <c r="E335" s="22">
        <v>0</v>
      </c>
      <c r="F335" s="22">
        <v>0</v>
      </c>
      <c r="G335" s="22">
        <v>0</v>
      </c>
      <c r="H335" s="22">
        <v>0</v>
      </c>
      <c r="I335" s="22">
        <v>0</v>
      </c>
      <c r="J335" s="22">
        <v>0</v>
      </c>
      <c r="K335" s="22">
        <v>0</v>
      </c>
      <c r="L335" s="28">
        <f>IF(D335=F335+H335+J335,"Correcto","Falso")</f>
      </c>
      <c r="M335" s="28">
        <f>IF(E335=G335+I335+K335,"Correcto","Falso")</f>
      </c>
      <c r="N335" s="29">
        <f>D335-(F335+H335+J335)</f>
      </c>
      <c r="O335" s="29">
        <f>E335-(G335+I335+K335)</f>
      </c>
      <c r="P335" s="30">
        <f>IF(D335&gt;0,F335/D335,0)</f>
      </c>
      <c r="Q335" s="30">
        <f>IF(D335&gt;0,J335/D335,0)</f>
      </c>
    </row>
    <row r="336" spans="1:17" x14ac:dyDescent="0.25">
      <c r="A336" s="20" t="s">
        <v>292</v>
      </c>
      <c r="B336" s="20" t="s">
        <v>38</v>
      </c>
      <c r="C336" s="20" t="s">
        <v>300</v>
      </c>
      <c r="D336" s="22">
        <v>0</v>
      </c>
      <c r="E336" s="22">
        <v>0</v>
      </c>
      <c r="F336" s="22">
        <v>0</v>
      </c>
      <c r="G336" s="22">
        <v>0</v>
      </c>
      <c r="H336" s="22">
        <v>0</v>
      </c>
      <c r="I336" s="22">
        <v>0</v>
      </c>
      <c r="J336" s="22">
        <v>0</v>
      </c>
      <c r="K336" s="22">
        <v>0</v>
      </c>
      <c r="L336" s="28">
        <f>IF(D336=F336+H336+J336,"Correcto","Falso")</f>
      </c>
      <c r="M336" s="28">
        <f>IF(E336=G336+I336+K336,"Correcto","Falso")</f>
      </c>
      <c r="N336" s="29">
        <f>D336-(F336+H336+J336)</f>
      </c>
      <c r="O336" s="29">
        <f>E336-(G336+I336+K336)</f>
      </c>
      <c r="P336" s="30">
        <f>IF(D336&gt;0,F336/D336,0)</f>
      </c>
      <c r="Q336" s="30">
        <f>IF(D336&gt;0,J336/D336,0)</f>
      </c>
    </row>
    <row r="337" spans="1:17" x14ac:dyDescent="0.25">
      <c r="A337" s="20" t="s">
        <v>292</v>
      </c>
      <c r="B337" s="20" t="s">
        <v>38</v>
      </c>
      <c r="C337" s="20" t="s">
        <v>301</v>
      </c>
      <c r="D337" s="22">
        <v>0</v>
      </c>
      <c r="E337" s="22">
        <v>0</v>
      </c>
      <c r="F337" s="22">
        <v>0</v>
      </c>
      <c r="G337" s="22">
        <v>0</v>
      </c>
      <c r="H337" s="22">
        <v>0</v>
      </c>
      <c r="I337" s="22">
        <v>0</v>
      </c>
      <c r="J337" s="22">
        <v>0</v>
      </c>
      <c r="K337" s="22">
        <v>0</v>
      </c>
      <c r="L337" s="28">
        <f>IF(D337=F337+H337+J337,"Correcto","Falso")</f>
      </c>
      <c r="M337" s="28">
        <f>IF(E337=G337+I337+K337,"Correcto","Falso")</f>
      </c>
      <c r="N337" s="29">
        <f>D337-(F337+H337+J337)</f>
      </c>
      <c r="O337" s="29">
        <f>E337-(G337+I337+K337)</f>
      </c>
      <c r="P337" s="30">
        <f>IF(D337&gt;0,F337/D337,0)</f>
      </c>
      <c r="Q337" s="30">
        <f>IF(D337&gt;0,J337/D337,0)</f>
      </c>
    </row>
    <row r="338" spans="1:17" x14ac:dyDescent="0.25">
      <c r="A338" s="20" t="s">
        <v>292</v>
      </c>
      <c r="B338" s="20" t="s">
        <v>39</v>
      </c>
      <c r="C338" s="20" t="s">
        <v>293</v>
      </c>
      <c r="D338" s="22">
        <v>0</v>
      </c>
      <c r="E338" s="22">
        <v>0</v>
      </c>
      <c r="F338" s="22">
        <v>0</v>
      </c>
      <c r="G338" s="22">
        <v>0</v>
      </c>
      <c r="H338" s="22">
        <v>0</v>
      </c>
      <c r="I338" s="22">
        <v>0</v>
      </c>
      <c r="J338" s="22">
        <v>0</v>
      </c>
      <c r="K338" s="22">
        <v>0</v>
      </c>
      <c r="L338" s="28">
        <f>IF(D338=F338+H338+J338,"Correcto","Falso")</f>
      </c>
      <c r="M338" s="28">
        <f>IF(E338=G338+I338+K338,"Correcto","Falso")</f>
      </c>
      <c r="N338" s="29">
        <f>D338-(F338+H338+J338)</f>
      </c>
      <c r="O338" s="29">
        <f>E338-(G338+I338+K338)</f>
      </c>
      <c r="P338" s="30">
        <f>IF(D338&gt;0,F338/D338,0)</f>
      </c>
      <c r="Q338" s="30">
        <f>IF(D338&gt;0,J338/D338,0)</f>
      </c>
    </row>
    <row r="339" spans="1:17" x14ac:dyDescent="0.25">
      <c r="A339" s="20" t="s">
        <v>292</v>
      </c>
      <c r="B339" s="20" t="s">
        <v>39</v>
      </c>
      <c r="C339" s="20" t="s">
        <v>294</v>
      </c>
      <c r="D339" s="22">
        <v>0</v>
      </c>
      <c r="E339" s="22">
        <v>0</v>
      </c>
      <c r="F339" s="22">
        <v>0</v>
      </c>
      <c r="G339" s="22">
        <v>0</v>
      </c>
      <c r="H339" s="22">
        <v>0</v>
      </c>
      <c r="I339" s="22">
        <v>0</v>
      </c>
      <c r="J339" s="22">
        <v>0</v>
      </c>
      <c r="K339" s="22">
        <v>0</v>
      </c>
      <c r="L339" s="28">
        <f>IF(D339=F339+H339+J339,"Correcto","Falso")</f>
      </c>
      <c r="M339" s="28">
        <f>IF(E339=G339+I339+K339,"Correcto","Falso")</f>
      </c>
      <c r="N339" s="29">
        <f>D339-(F339+H339+J339)</f>
      </c>
      <c r="O339" s="29">
        <f>E339-(G339+I339+K339)</f>
      </c>
      <c r="P339" s="30">
        <f>IF(D339&gt;0,F339/D339,0)</f>
      </c>
      <c r="Q339" s="30">
        <f>IF(D339&gt;0,J339/D339,0)</f>
      </c>
    </row>
    <row r="340" spans="1:17" x14ac:dyDescent="0.25">
      <c r="A340" s="20" t="s">
        <v>292</v>
      </c>
      <c r="B340" s="20" t="s">
        <v>39</v>
      </c>
      <c r="C340" s="20" t="s">
        <v>295</v>
      </c>
      <c r="D340" s="22">
        <v>0</v>
      </c>
      <c r="E340" s="22">
        <v>0</v>
      </c>
      <c r="F340" s="22">
        <v>0</v>
      </c>
      <c r="G340" s="22">
        <v>0</v>
      </c>
      <c r="H340" s="22">
        <v>0</v>
      </c>
      <c r="I340" s="22">
        <v>0</v>
      </c>
      <c r="J340" s="22">
        <v>0</v>
      </c>
      <c r="K340" s="22">
        <v>0</v>
      </c>
      <c r="L340" s="28">
        <f>IF(D340=F340+H340+J340,"Correcto","Falso")</f>
      </c>
      <c r="M340" s="28">
        <f>IF(E340=G340+I340+K340,"Correcto","Falso")</f>
      </c>
      <c r="N340" s="29">
        <f>D340-(F340+H340+J340)</f>
      </c>
      <c r="O340" s="29">
        <f>E340-(G340+I340+K340)</f>
      </c>
      <c r="P340" s="30">
        <f>IF(D340&gt;0,F340/D340,0)</f>
      </c>
      <c r="Q340" s="30">
        <f>IF(D340&gt;0,J340/D340,0)</f>
      </c>
    </row>
    <row r="341" spans="1:17" x14ac:dyDescent="0.25">
      <c r="A341" s="20" t="s">
        <v>292</v>
      </c>
      <c r="B341" s="20" t="s">
        <v>39</v>
      </c>
      <c r="C341" s="20" t="s">
        <v>296</v>
      </c>
      <c r="D341" s="22">
        <v>0</v>
      </c>
      <c r="E341" s="22">
        <v>0</v>
      </c>
      <c r="F341" s="22">
        <v>0</v>
      </c>
      <c r="G341" s="22">
        <v>0</v>
      </c>
      <c r="H341" s="22">
        <v>0</v>
      </c>
      <c r="I341" s="22">
        <v>0</v>
      </c>
      <c r="J341" s="22">
        <v>0</v>
      </c>
      <c r="K341" s="22">
        <v>0</v>
      </c>
      <c r="L341" s="28">
        <f>IF(D341=F341+H341+J341,"Correcto","Falso")</f>
      </c>
      <c r="M341" s="28">
        <f>IF(E341=G341+I341+K341,"Correcto","Falso")</f>
      </c>
      <c r="N341" s="29">
        <f>D341-(F341+H341+J341)</f>
      </c>
      <c r="O341" s="29">
        <f>E341-(G341+I341+K341)</f>
      </c>
      <c r="P341" s="30">
        <f>IF(D341&gt;0,F341/D341,0)</f>
      </c>
      <c r="Q341" s="30">
        <f>IF(D341&gt;0,J341/D341,0)</f>
      </c>
    </row>
    <row r="342" spans="1:17" x14ac:dyDescent="0.25">
      <c r="A342" s="20" t="s">
        <v>292</v>
      </c>
      <c r="B342" s="20" t="s">
        <v>39</v>
      </c>
      <c r="C342" s="20" t="s">
        <v>297</v>
      </c>
      <c r="D342" s="22">
        <v>0</v>
      </c>
      <c r="E342" s="22">
        <v>0</v>
      </c>
      <c r="F342" s="22">
        <v>0</v>
      </c>
      <c r="G342" s="22">
        <v>0</v>
      </c>
      <c r="H342" s="22">
        <v>0</v>
      </c>
      <c r="I342" s="22">
        <v>0</v>
      </c>
      <c r="J342" s="22">
        <v>0</v>
      </c>
      <c r="K342" s="22">
        <v>0</v>
      </c>
      <c r="L342" s="28">
        <f>IF(D342=F342+H342+J342,"Correcto","Falso")</f>
      </c>
      <c r="M342" s="28">
        <f>IF(E342=G342+I342+K342,"Correcto","Falso")</f>
      </c>
      <c r="N342" s="29">
        <f>D342-(F342+H342+J342)</f>
      </c>
      <c r="O342" s="29">
        <f>E342-(G342+I342+K342)</f>
      </c>
      <c r="P342" s="30">
        <f>IF(D342&gt;0,F342/D342,0)</f>
      </c>
      <c r="Q342" s="30">
        <f>IF(D342&gt;0,J342/D342,0)</f>
      </c>
    </row>
    <row r="343" spans="1:17" x14ac:dyDescent="0.25">
      <c r="A343" s="20" t="s">
        <v>292</v>
      </c>
      <c r="B343" s="20" t="s">
        <v>39</v>
      </c>
      <c r="C343" s="20" t="s">
        <v>298</v>
      </c>
      <c r="D343" s="22">
        <v>0</v>
      </c>
      <c r="E343" s="22">
        <v>0</v>
      </c>
      <c r="F343" s="22">
        <v>0</v>
      </c>
      <c r="G343" s="22">
        <v>0</v>
      </c>
      <c r="H343" s="22">
        <v>0</v>
      </c>
      <c r="I343" s="22">
        <v>0</v>
      </c>
      <c r="J343" s="22">
        <v>0</v>
      </c>
      <c r="K343" s="22">
        <v>0</v>
      </c>
      <c r="L343" s="28">
        <f>IF(D343=F343+H343+J343,"Correcto","Falso")</f>
      </c>
      <c r="M343" s="28">
        <f>IF(E343=G343+I343+K343,"Correcto","Falso")</f>
      </c>
      <c r="N343" s="29">
        <f>D343-(F343+H343+J343)</f>
      </c>
      <c r="O343" s="29">
        <f>E343-(G343+I343+K343)</f>
      </c>
      <c r="P343" s="30">
        <f>IF(D343&gt;0,F343/D343,0)</f>
      </c>
      <c r="Q343" s="30">
        <f>IF(D343&gt;0,J343/D343,0)</f>
      </c>
    </row>
    <row r="344" spans="1:17" x14ac:dyDescent="0.25">
      <c r="A344" s="20" t="s">
        <v>292</v>
      </c>
      <c r="B344" s="20" t="s">
        <v>39</v>
      </c>
      <c r="C344" s="20" t="s">
        <v>299</v>
      </c>
      <c r="D344" s="22">
        <v>0</v>
      </c>
      <c r="E344" s="22">
        <v>0</v>
      </c>
      <c r="F344" s="22">
        <v>0</v>
      </c>
      <c r="G344" s="22">
        <v>0</v>
      </c>
      <c r="H344" s="22">
        <v>0</v>
      </c>
      <c r="I344" s="22">
        <v>0</v>
      </c>
      <c r="J344" s="22">
        <v>0</v>
      </c>
      <c r="K344" s="22">
        <v>0</v>
      </c>
      <c r="L344" s="28">
        <f>IF(D344=F344+H344+J344,"Correcto","Falso")</f>
      </c>
      <c r="M344" s="28">
        <f>IF(E344=G344+I344+K344,"Correcto","Falso")</f>
      </c>
      <c r="N344" s="29">
        <f>D344-(F344+H344+J344)</f>
      </c>
      <c r="O344" s="29">
        <f>E344-(G344+I344+K344)</f>
      </c>
      <c r="P344" s="30">
        <f>IF(D344&gt;0,F344/D344,0)</f>
      </c>
      <c r="Q344" s="30">
        <f>IF(D344&gt;0,J344/D344,0)</f>
      </c>
    </row>
    <row r="345" spans="1:17" x14ac:dyDescent="0.25">
      <c r="A345" s="20" t="s">
        <v>292</v>
      </c>
      <c r="B345" s="20" t="s">
        <v>39</v>
      </c>
      <c r="C345" s="20" t="s">
        <v>300</v>
      </c>
      <c r="D345" s="22">
        <v>0</v>
      </c>
      <c r="E345" s="22">
        <v>0</v>
      </c>
      <c r="F345" s="22">
        <v>0</v>
      </c>
      <c r="G345" s="22">
        <v>0</v>
      </c>
      <c r="H345" s="22">
        <v>0</v>
      </c>
      <c r="I345" s="22">
        <v>0</v>
      </c>
      <c r="J345" s="22">
        <v>0</v>
      </c>
      <c r="K345" s="22">
        <v>0</v>
      </c>
      <c r="L345" s="28">
        <f>IF(D345=F345+H345+J345,"Correcto","Falso")</f>
      </c>
      <c r="M345" s="28">
        <f>IF(E345=G345+I345+K345,"Correcto","Falso")</f>
      </c>
      <c r="N345" s="29">
        <f>D345-(F345+H345+J345)</f>
      </c>
      <c r="O345" s="29">
        <f>E345-(G345+I345+K345)</f>
      </c>
      <c r="P345" s="30">
        <f>IF(D345&gt;0,F345/D345,0)</f>
      </c>
      <c r="Q345" s="30">
        <f>IF(D345&gt;0,J345/D345,0)</f>
      </c>
    </row>
    <row r="346" spans="1:17" x14ac:dyDescent="0.25">
      <c r="A346" s="20" t="s">
        <v>292</v>
      </c>
      <c r="B346" s="20" t="s">
        <v>39</v>
      </c>
      <c r="C346" s="20" t="s">
        <v>301</v>
      </c>
      <c r="D346" s="22">
        <v>0</v>
      </c>
      <c r="E346" s="22">
        <v>0</v>
      </c>
      <c r="F346" s="22">
        <v>0</v>
      </c>
      <c r="G346" s="22">
        <v>0</v>
      </c>
      <c r="H346" s="22">
        <v>0</v>
      </c>
      <c r="I346" s="22">
        <v>0</v>
      </c>
      <c r="J346" s="22">
        <v>0</v>
      </c>
      <c r="K346" s="22">
        <v>0</v>
      </c>
      <c r="L346" s="28">
        <f>IF(D346=F346+H346+J346,"Correcto","Falso")</f>
      </c>
      <c r="M346" s="28">
        <f>IF(E346=G346+I346+K346,"Correcto","Falso")</f>
      </c>
      <c r="N346" s="29">
        <f>D346-(F346+H346+J346)</f>
      </c>
      <c r="O346" s="29">
        <f>E346-(G346+I346+K346)</f>
      </c>
      <c r="P346" s="30">
        <f>IF(D346&gt;0,F346/D346,0)</f>
      </c>
      <c r="Q346" s="30">
        <f>IF(D346&gt;0,J346/D346,0)</f>
      </c>
    </row>
    <row r="347" spans="1:17" x14ac:dyDescent="0.25">
      <c r="A347" s="20" t="s">
        <v>292</v>
      </c>
      <c r="B347" s="20" t="s">
        <v>40</v>
      </c>
      <c r="C347" s="20" t="s">
        <v>293</v>
      </c>
      <c r="D347" s="22">
        <v>0</v>
      </c>
      <c r="E347" s="22">
        <v>0</v>
      </c>
      <c r="F347" s="22">
        <v>0</v>
      </c>
      <c r="G347" s="22">
        <v>0</v>
      </c>
      <c r="H347" s="22">
        <v>0</v>
      </c>
      <c r="I347" s="22">
        <v>0</v>
      </c>
      <c r="J347" s="22">
        <v>0</v>
      </c>
      <c r="K347" s="22">
        <v>0</v>
      </c>
      <c r="L347" s="28">
        <f>IF(D347=F347+H347+J347,"Correcto","Falso")</f>
      </c>
      <c r="M347" s="28">
        <f>IF(E347=G347+I347+K347,"Correcto","Falso")</f>
      </c>
      <c r="N347" s="29">
        <f>D347-(F347+H347+J347)</f>
      </c>
      <c r="O347" s="29">
        <f>E347-(G347+I347+K347)</f>
      </c>
      <c r="P347" s="30">
        <f>IF(D347&gt;0,F347/D347,0)</f>
      </c>
      <c r="Q347" s="30">
        <f>IF(D347&gt;0,J347/D347,0)</f>
      </c>
    </row>
    <row r="348" spans="1:17" x14ac:dyDescent="0.25">
      <c r="A348" s="20" t="s">
        <v>292</v>
      </c>
      <c r="B348" s="20" t="s">
        <v>40</v>
      </c>
      <c r="C348" s="20" t="s">
        <v>294</v>
      </c>
      <c r="D348" s="22">
        <v>0</v>
      </c>
      <c r="E348" s="22">
        <v>0</v>
      </c>
      <c r="F348" s="22">
        <v>0</v>
      </c>
      <c r="G348" s="22">
        <v>0</v>
      </c>
      <c r="H348" s="22">
        <v>0</v>
      </c>
      <c r="I348" s="22">
        <v>0</v>
      </c>
      <c r="J348" s="22">
        <v>0</v>
      </c>
      <c r="K348" s="22">
        <v>0</v>
      </c>
      <c r="L348" s="28">
        <f>IF(D348=F348+H348+J348,"Correcto","Falso")</f>
      </c>
      <c r="M348" s="28">
        <f>IF(E348=G348+I348+K348,"Correcto","Falso")</f>
      </c>
      <c r="N348" s="29">
        <f>D348-(F348+H348+J348)</f>
      </c>
      <c r="O348" s="29">
        <f>E348-(G348+I348+K348)</f>
      </c>
      <c r="P348" s="30">
        <f>IF(D348&gt;0,F348/D348,0)</f>
      </c>
      <c r="Q348" s="30">
        <f>IF(D348&gt;0,J348/D348,0)</f>
      </c>
    </row>
    <row r="349" spans="1:17" x14ac:dyDescent="0.25">
      <c r="A349" s="20" t="s">
        <v>292</v>
      </c>
      <c r="B349" s="20" t="s">
        <v>40</v>
      </c>
      <c r="C349" s="20" t="s">
        <v>295</v>
      </c>
      <c r="D349" s="22">
        <v>0</v>
      </c>
      <c r="E349" s="22">
        <v>0</v>
      </c>
      <c r="F349" s="22">
        <v>0</v>
      </c>
      <c r="G349" s="22">
        <v>0</v>
      </c>
      <c r="H349" s="22">
        <v>0</v>
      </c>
      <c r="I349" s="22">
        <v>0</v>
      </c>
      <c r="J349" s="22">
        <v>0</v>
      </c>
      <c r="K349" s="22">
        <v>0</v>
      </c>
      <c r="L349" s="28">
        <f>IF(D349=F349+H349+J349,"Correcto","Falso")</f>
      </c>
      <c r="M349" s="28">
        <f>IF(E349=G349+I349+K349,"Correcto","Falso")</f>
      </c>
      <c r="N349" s="29">
        <f>D349-(F349+H349+J349)</f>
      </c>
      <c r="O349" s="29">
        <f>E349-(G349+I349+K349)</f>
      </c>
      <c r="P349" s="30">
        <f>IF(D349&gt;0,F349/D349,0)</f>
      </c>
      <c r="Q349" s="30">
        <f>IF(D349&gt;0,J349/D349,0)</f>
      </c>
    </row>
    <row r="350" spans="1:17" x14ac:dyDescent="0.25">
      <c r="A350" s="20" t="s">
        <v>292</v>
      </c>
      <c r="B350" s="20" t="s">
        <v>40</v>
      </c>
      <c r="C350" s="20" t="s">
        <v>296</v>
      </c>
      <c r="D350" s="22">
        <v>0</v>
      </c>
      <c r="E350" s="22">
        <v>0</v>
      </c>
      <c r="F350" s="22">
        <v>0</v>
      </c>
      <c r="G350" s="22">
        <v>0</v>
      </c>
      <c r="H350" s="22">
        <v>0</v>
      </c>
      <c r="I350" s="22">
        <v>0</v>
      </c>
      <c r="J350" s="22">
        <v>0</v>
      </c>
      <c r="K350" s="22">
        <v>0</v>
      </c>
      <c r="L350" s="28">
        <f>IF(D350=F350+H350+J350,"Correcto","Falso")</f>
      </c>
      <c r="M350" s="28">
        <f>IF(E350=G350+I350+K350,"Correcto","Falso")</f>
      </c>
      <c r="N350" s="29">
        <f>D350-(F350+H350+J350)</f>
      </c>
      <c r="O350" s="29">
        <f>E350-(G350+I350+K350)</f>
      </c>
      <c r="P350" s="30">
        <f>IF(D350&gt;0,F350/D350,0)</f>
      </c>
      <c r="Q350" s="30">
        <f>IF(D350&gt;0,J350/D350,0)</f>
      </c>
    </row>
    <row r="351" spans="1:16" x14ac:dyDescent="0.25">
      <c r="A351" s="23" t="s">
        <v>79</v>
      </c>
      <c r="B351" s="23" t="s">
        <v>302</v>
      </c>
      <c r="C351" s="23" t="s">
        <v>303</v>
      </c>
      <c r="D351" s="24">
        <f>SUM(D329:D350)</f>
      </c>
      <c r="E351" s="24">
        <f>SUM(E329:E350)</f>
      </c>
      <c r="F351" s="24">
        <f>SUM(F329:F350)</f>
      </c>
      <c r="G351" s="24">
        <f>SUM(G329:G350)</f>
      </c>
      <c r="H351" s="24">
        <f>SUM(H329:H350)</f>
      </c>
      <c r="I351" s="24">
        <f>SUM(I329:I350)</f>
      </c>
      <c r="J351" s="24">
        <f>SUM(J329:J350)</f>
      </c>
      <c r="K351" s="24">
        <f>SUM(K329:K350)</f>
      </c>
      <c r="L351" s="31">
        <f>IF(D351=F351+H351+J351,"Correcto","Falso")</f>
      </c>
      <c r="M351" s="31">
        <f>IF(E351=G351+I351+K351,"Correcto","Falso")</f>
      </c>
      <c r="N351" s="32">
        <f>D351-(F351+H351+J351)</f>
      </c>
      <c r="O351" s="33">
        <f>IF(D351&gt;0,F351/D351,0)</f>
      </c>
      <c r="P351" s="33">
        <f>IF(D351&gt;0,J351/D351,0)</f>
      </c>
    </row>
    <row r="353" spans="1:17" x14ac:dyDescent="0.25">
      <c r="A353" s="20" t="s">
        <v>304</v>
      </c>
      <c r="B353" s="20" t="s">
        <v>38</v>
      </c>
      <c r="C353" s="20" t="s">
        <v>305</v>
      </c>
      <c r="D353" s="22">
        <v>0</v>
      </c>
      <c r="E353" s="22">
        <v>0</v>
      </c>
      <c r="F353" s="22">
        <v>0</v>
      </c>
      <c r="G353" s="22">
        <v>0</v>
      </c>
      <c r="H353" s="22">
        <v>0</v>
      </c>
      <c r="I353" s="22">
        <v>0</v>
      </c>
      <c r="J353" s="22">
        <v>0</v>
      </c>
      <c r="K353" s="22">
        <v>0</v>
      </c>
      <c r="L353" s="28">
        <f>IF(D353=F353+H353+J353,"Correcto","Falso")</f>
      </c>
      <c r="M353" s="28">
        <f>IF(E353=G353+I353+K353,"Correcto","Falso")</f>
      </c>
      <c r="N353" s="29">
        <f>D353-(F353+H353+J353)</f>
      </c>
      <c r="O353" s="29">
        <f>E353-(G353+I353+K353)</f>
      </c>
      <c r="P353" s="30">
        <f>IF(D353&gt;0,F353/D353,0)</f>
      </c>
      <c r="Q353" s="30">
        <f>IF(D353&gt;0,J353/D353,0)</f>
      </c>
    </row>
    <row r="354" spans="1:17" x14ac:dyDescent="0.25">
      <c r="A354" s="20" t="s">
        <v>304</v>
      </c>
      <c r="B354" s="20" t="s">
        <v>38</v>
      </c>
      <c r="C354" s="20" t="s">
        <v>306</v>
      </c>
      <c r="D354" s="22">
        <v>0</v>
      </c>
      <c r="E354" s="22">
        <v>0</v>
      </c>
      <c r="F354" s="22">
        <v>0</v>
      </c>
      <c r="G354" s="22">
        <v>0</v>
      </c>
      <c r="H354" s="22">
        <v>0</v>
      </c>
      <c r="I354" s="22">
        <v>0</v>
      </c>
      <c r="J354" s="22">
        <v>0</v>
      </c>
      <c r="K354" s="22">
        <v>0</v>
      </c>
      <c r="L354" s="28">
        <f>IF(D354=F354+H354+J354,"Correcto","Falso")</f>
      </c>
      <c r="M354" s="28">
        <f>IF(E354=G354+I354+K354,"Correcto","Falso")</f>
      </c>
      <c r="N354" s="29">
        <f>D354-(F354+H354+J354)</f>
      </c>
      <c r="O354" s="29">
        <f>E354-(G354+I354+K354)</f>
      </c>
      <c r="P354" s="30">
        <f>IF(D354&gt;0,F354/D354,0)</f>
      </c>
      <c r="Q354" s="30">
        <f>IF(D354&gt;0,J354/D354,0)</f>
      </c>
    </row>
    <row r="355" spans="1:17" x14ac:dyDescent="0.25">
      <c r="A355" s="20" t="s">
        <v>304</v>
      </c>
      <c r="B355" s="20" t="s">
        <v>38</v>
      </c>
      <c r="C355" s="20" t="s">
        <v>307</v>
      </c>
      <c r="D355" s="22">
        <v>0</v>
      </c>
      <c r="E355" s="22">
        <v>0</v>
      </c>
      <c r="F355" s="22">
        <v>0</v>
      </c>
      <c r="G355" s="22">
        <v>0</v>
      </c>
      <c r="H355" s="22">
        <v>0</v>
      </c>
      <c r="I355" s="22">
        <v>0</v>
      </c>
      <c r="J355" s="22">
        <v>0</v>
      </c>
      <c r="K355" s="22">
        <v>0</v>
      </c>
      <c r="L355" s="28">
        <f>IF(D355=F355+H355+J355,"Correcto","Falso")</f>
      </c>
      <c r="M355" s="28">
        <f>IF(E355=G355+I355+K355,"Correcto","Falso")</f>
      </c>
      <c r="N355" s="29">
        <f>D355-(F355+H355+J355)</f>
      </c>
      <c r="O355" s="29">
        <f>E355-(G355+I355+K355)</f>
      </c>
      <c r="P355" s="30">
        <f>IF(D355&gt;0,F355/D355,0)</f>
      </c>
      <c r="Q355" s="30">
        <f>IF(D355&gt;0,J355/D355,0)</f>
      </c>
    </row>
    <row r="356" spans="1:17" x14ac:dyDescent="0.25">
      <c r="A356" s="20" t="s">
        <v>304</v>
      </c>
      <c r="B356" s="20" t="s">
        <v>38</v>
      </c>
      <c r="C356" s="20" t="s">
        <v>308</v>
      </c>
      <c r="D356" s="22">
        <v>0</v>
      </c>
      <c r="E356" s="22">
        <v>0</v>
      </c>
      <c r="F356" s="22">
        <v>0</v>
      </c>
      <c r="G356" s="22">
        <v>0</v>
      </c>
      <c r="H356" s="22">
        <v>0</v>
      </c>
      <c r="I356" s="22">
        <v>0</v>
      </c>
      <c r="J356" s="22">
        <v>0</v>
      </c>
      <c r="K356" s="22">
        <v>0</v>
      </c>
      <c r="L356" s="28">
        <f>IF(D356=F356+H356+J356,"Correcto","Falso")</f>
      </c>
      <c r="M356" s="28">
        <f>IF(E356=G356+I356+K356,"Correcto","Falso")</f>
      </c>
      <c r="N356" s="29">
        <f>D356-(F356+H356+J356)</f>
      </c>
      <c r="O356" s="29">
        <f>E356-(G356+I356+K356)</f>
      </c>
      <c r="P356" s="30">
        <f>IF(D356&gt;0,F356/D356,0)</f>
      </c>
      <c r="Q356" s="30">
        <f>IF(D356&gt;0,J356/D356,0)</f>
      </c>
    </row>
    <row r="357" spans="1:17" x14ac:dyDescent="0.25">
      <c r="A357" s="20" t="s">
        <v>304</v>
      </c>
      <c r="B357" s="20" t="s">
        <v>38</v>
      </c>
      <c r="C357" s="20" t="s">
        <v>309</v>
      </c>
      <c r="D357" s="22">
        <v>0</v>
      </c>
      <c r="E357" s="22">
        <v>0</v>
      </c>
      <c r="F357" s="22">
        <v>0</v>
      </c>
      <c r="G357" s="22">
        <v>0</v>
      </c>
      <c r="H357" s="22">
        <v>0</v>
      </c>
      <c r="I357" s="22">
        <v>0</v>
      </c>
      <c r="J357" s="22">
        <v>0</v>
      </c>
      <c r="K357" s="22">
        <v>0</v>
      </c>
      <c r="L357" s="28">
        <f>IF(D357=F357+H357+J357,"Correcto","Falso")</f>
      </c>
      <c r="M357" s="28">
        <f>IF(E357=G357+I357+K357,"Correcto","Falso")</f>
      </c>
      <c r="N357" s="29">
        <f>D357-(F357+H357+J357)</f>
      </c>
      <c r="O357" s="29">
        <f>E357-(G357+I357+K357)</f>
      </c>
      <c r="P357" s="30">
        <f>IF(D357&gt;0,F357/D357,0)</f>
      </c>
      <c r="Q357" s="30">
        <f>IF(D357&gt;0,J357/D357,0)</f>
      </c>
    </row>
    <row r="358" spans="1:17" x14ac:dyDescent="0.25">
      <c r="A358" s="20" t="s">
        <v>304</v>
      </c>
      <c r="B358" s="20" t="s">
        <v>38</v>
      </c>
      <c r="C358" s="20" t="s">
        <v>310</v>
      </c>
      <c r="D358" s="22">
        <v>0</v>
      </c>
      <c r="E358" s="22">
        <v>0</v>
      </c>
      <c r="F358" s="22">
        <v>0</v>
      </c>
      <c r="G358" s="22">
        <v>0</v>
      </c>
      <c r="H358" s="22">
        <v>0</v>
      </c>
      <c r="I358" s="22">
        <v>0</v>
      </c>
      <c r="J358" s="22">
        <v>0</v>
      </c>
      <c r="K358" s="22">
        <v>0</v>
      </c>
      <c r="L358" s="28">
        <f>IF(D358=F358+H358+J358,"Correcto","Falso")</f>
      </c>
      <c r="M358" s="28">
        <f>IF(E358=G358+I358+K358,"Correcto","Falso")</f>
      </c>
      <c r="N358" s="29">
        <f>D358-(F358+H358+J358)</f>
      </c>
      <c r="O358" s="29">
        <f>E358-(G358+I358+K358)</f>
      </c>
      <c r="P358" s="30">
        <f>IF(D358&gt;0,F358/D358,0)</f>
      </c>
      <c r="Q358" s="30">
        <f>IF(D358&gt;0,J358/D358,0)</f>
      </c>
    </row>
    <row r="359" spans="1:17" x14ac:dyDescent="0.25">
      <c r="A359" s="20" t="s">
        <v>304</v>
      </c>
      <c r="B359" s="20" t="s">
        <v>38</v>
      </c>
      <c r="C359" s="20" t="s">
        <v>311</v>
      </c>
      <c r="D359" s="22">
        <v>0</v>
      </c>
      <c r="E359" s="22">
        <v>0</v>
      </c>
      <c r="F359" s="22">
        <v>0</v>
      </c>
      <c r="G359" s="22">
        <v>0</v>
      </c>
      <c r="H359" s="22">
        <v>0</v>
      </c>
      <c r="I359" s="22">
        <v>0</v>
      </c>
      <c r="J359" s="22">
        <v>0</v>
      </c>
      <c r="K359" s="22">
        <v>0</v>
      </c>
      <c r="L359" s="28">
        <f>IF(D359=F359+H359+J359,"Correcto","Falso")</f>
      </c>
      <c r="M359" s="28">
        <f>IF(E359=G359+I359+K359,"Correcto","Falso")</f>
      </c>
      <c r="N359" s="29">
        <f>D359-(F359+H359+J359)</f>
      </c>
      <c r="O359" s="29">
        <f>E359-(G359+I359+K359)</f>
      </c>
      <c r="P359" s="30">
        <f>IF(D359&gt;0,F359/D359,0)</f>
      </c>
      <c r="Q359" s="30">
        <f>IF(D359&gt;0,J359/D359,0)</f>
      </c>
    </row>
    <row r="360" spans="1:17" x14ac:dyDescent="0.25">
      <c r="A360" s="20" t="s">
        <v>304</v>
      </c>
      <c r="B360" s="20" t="s">
        <v>38</v>
      </c>
      <c r="C360" s="20" t="s">
        <v>312</v>
      </c>
      <c r="D360" s="22">
        <v>0</v>
      </c>
      <c r="E360" s="22">
        <v>0</v>
      </c>
      <c r="F360" s="22">
        <v>0</v>
      </c>
      <c r="G360" s="22">
        <v>0</v>
      </c>
      <c r="H360" s="22">
        <v>0</v>
      </c>
      <c r="I360" s="22">
        <v>0</v>
      </c>
      <c r="J360" s="22">
        <v>0</v>
      </c>
      <c r="K360" s="22">
        <v>0</v>
      </c>
      <c r="L360" s="28">
        <f>IF(D360=F360+H360+J360,"Correcto","Falso")</f>
      </c>
      <c r="M360" s="28">
        <f>IF(E360=G360+I360+K360,"Correcto","Falso")</f>
      </c>
      <c r="N360" s="29">
        <f>D360-(F360+H360+J360)</f>
      </c>
      <c r="O360" s="29">
        <f>E360-(G360+I360+K360)</f>
      </c>
      <c r="P360" s="30">
        <f>IF(D360&gt;0,F360/D360,0)</f>
      </c>
      <c r="Q360" s="30">
        <f>IF(D360&gt;0,J360/D360,0)</f>
      </c>
    </row>
    <row r="361" spans="1:17" x14ac:dyDescent="0.25">
      <c r="A361" s="20" t="s">
        <v>304</v>
      </c>
      <c r="B361" s="20" t="s">
        <v>38</v>
      </c>
      <c r="C361" s="20" t="s">
        <v>313</v>
      </c>
      <c r="D361" s="22">
        <v>0</v>
      </c>
      <c r="E361" s="22">
        <v>0</v>
      </c>
      <c r="F361" s="22">
        <v>0</v>
      </c>
      <c r="G361" s="22">
        <v>0</v>
      </c>
      <c r="H361" s="22">
        <v>0</v>
      </c>
      <c r="I361" s="22">
        <v>0</v>
      </c>
      <c r="J361" s="22">
        <v>0</v>
      </c>
      <c r="K361" s="22">
        <v>0</v>
      </c>
      <c r="L361" s="28">
        <f>IF(D361=F361+H361+J361,"Correcto","Falso")</f>
      </c>
      <c r="M361" s="28">
        <f>IF(E361=G361+I361+K361,"Correcto","Falso")</f>
      </c>
      <c r="N361" s="29">
        <f>D361-(F361+H361+J361)</f>
      </c>
      <c r="O361" s="29">
        <f>E361-(G361+I361+K361)</f>
      </c>
      <c r="P361" s="30">
        <f>IF(D361&gt;0,F361/D361,0)</f>
      </c>
      <c r="Q361" s="30">
        <f>IF(D361&gt;0,J361/D361,0)</f>
      </c>
    </row>
    <row r="362" spans="1:17" x14ac:dyDescent="0.25">
      <c r="A362" s="20" t="s">
        <v>304</v>
      </c>
      <c r="B362" s="20" t="s">
        <v>38</v>
      </c>
      <c r="C362" s="20" t="s">
        <v>314</v>
      </c>
      <c r="D362" s="22">
        <v>0</v>
      </c>
      <c r="E362" s="22">
        <v>0</v>
      </c>
      <c r="F362" s="22">
        <v>0</v>
      </c>
      <c r="G362" s="22">
        <v>0</v>
      </c>
      <c r="H362" s="22">
        <v>0</v>
      </c>
      <c r="I362" s="22">
        <v>0</v>
      </c>
      <c r="J362" s="22">
        <v>0</v>
      </c>
      <c r="K362" s="22">
        <v>0</v>
      </c>
      <c r="L362" s="28">
        <f>IF(D362=F362+H362+J362,"Correcto","Falso")</f>
      </c>
      <c r="M362" s="28">
        <f>IF(E362=G362+I362+K362,"Correcto","Falso")</f>
      </c>
      <c r="N362" s="29">
        <f>D362-(F362+H362+J362)</f>
      </c>
      <c r="O362" s="29">
        <f>E362-(G362+I362+K362)</f>
      </c>
      <c r="P362" s="30">
        <f>IF(D362&gt;0,F362/D362,0)</f>
      </c>
      <c r="Q362" s="30">
        <f>IF(D362&gt;0,J362/D362,0)</f>
      </c>
    </row>
    <row r="363" spans="1:17" x14ac:dyDescent="0.25">
      <c r="A363" s="20" t="s">
        <v>304</v>
      </c>
      <c r="B363" s="20" t="s">
        <v>38</v>
      </c>
      <c r="C363" s="20" t="s">
        <v>315</v>
      </c>
      <c r="D363" s="22">
        <v>0</v>
      </c>
      <c r="E363" s="22">
        <v>0</v>
      </c>
      <c r="F363" s="22">
        <v>0</v>
      </c>
      <c r="G363" s="22">
        <v>0</v>
      </c>
      <c r="H363" s="22">
        <v>0</v>
      </c>
      <c r="I363" s="22">
        <v>0</v>
      </c>
      <c r="J363" s="22">
        <v>0</v>
      </c>
      <c r="K363" s="22">
        <v>0</v>
      </c>
      <c r="L363" s="28">
        <f>IF(D363=F363+H363+J363,"Correcto","Falso")</f>
      </c>
      <c r="M363" s="28">
        <f>IF(E363=G363+I363+K363,"Correcto","Falso")</f>
      </c>
      <c r="N363" s="29">
        <f>D363-(F363+H363+J363)</f>
      </c>
      <c r="O363" s="29">
        <f>E363-(G363+I363+K363)</f>
      </c>
      <c r="P363" s="30">
        <f>IF(D363&gt;0,F363/D363,0)</f>
      </c>
      <c r="Q363" s="30">
        <f>IF(D363&gt;0,J363/D363,0)</f>
      </c>
    </row>
    <row r="364" spans="1:17" x14ac:dyDescent="0.25">
      <c r="A364" s="20" t="s">
        <v>304</v>
      </c>
      <c r="B364" s="20" t="s">
        <v>38</v>
      </c>
      <c r="C364" s="20" t="s">
        <v>316</v>
      </c>
      <c r="D364" s="22">
        <v>0</v>
      </c>
      <c r="E364" s="22">
        <v>0</v>
      </c>
      <c r="F364" s="22">
        <v>0</v>
      </c>
      <c r="G364" s="22">
        <v>0</v>
      </c>
      <c r="H364" s="22">
        <v>0</v>
      </c>
      <c r="I364" s="22">
        <v>0</v>
      </c>
      <c r="J364" s="22">
        <v>0</v>
      </c>
      <c r="K364" s="22">
        <v>0</v>
      </c>
      <c r="L364" s="28">
        <f>IF(D364=F364+H364+J364,"Correcto","Falso")</f>
      </c>
      <c r="M364" s="28">
        <f>IF(E364=G364+I364+K364,"Correcto","Falso")</f>
      </c>
      <c r="N364" s="29">
        <f>D364-(F364+H364+J364)</f>
      </c>
      <c r="O364" s="29">
        <f>E364-(G364+I364+K364)</f>
      </c>
      <c r="P364" s="30">
        <f>IF(D364&gt;0,F364/D364,0)</f>
      </c>
      <c r="Q364" s="30">
        <f>IF(D364&gt;0,J364/D364,0)</f>
      </c>
    </row>
    <row r="365" spans="1:17" x14ac:dyDescent="0.25">
      <c r="A365" s="20" t="s">
        <v>304</v>
      </c>
      <c r="B365" s="20" t="s">
        <v>38</v>
      </c>
      <c r="C365" s="20" t="s">
        <v>317</v>
      </c>
      <c r="D365" s="22">
        <v>0</v>
      </c>
      <c r="E365" s="22">
        <v>0</v>
      </c>
      <c r="F365" s="22">
        <v>0</v>
      </c>
      <c r="G365" s="22">
        <v>0</v>
      </c>
      <c r="H365" s="22">
        <v>0</v>
      </c>
      <c r="I365" s="22">
        <v>0</v>
      </c>
      <c r="J365" s="22">
        <v>0</v>
      </c>
      <c r="K365" s="22">
        <v>0</v>
      </c>
      <c r="L365" s="28">
        <f>IF(D365=F365+H365+J365,"Correcto","Falso")</f>
      </c>
      <c r="M365" s="28">
        <f>IF(E365=G365+I365+K365,"Correcto","Falso")</f>
      </c>
      <c r="N365" s="29">
        <f>D365-(F365+H365+J365)</f>
      </c>
      <c r="O365" s="29">
        <f>E365-(G365+I365+K365)</f>
      </c>
      <c r="P365" s="30">
        <f>IF(D365&gt;0,F365/D365,0)</f>
      </c>
      <c r="Q365" s="30">
        <f>IF(D365&gt;0,J365/D365,0)</f>
      </c>
    </row>
    <row r="366" spans="1:17" x14ac:dyDescent="0.25">
      <c r="A366" s="20" t="s">
        <v>304</v>
      </c>
      <c r="B366" s="20" t="s">
        <v>38</v>
      </c>
      <c r="C366" s="20" t="s">
        <v>318</v>
      </c>
      <c r="D366" s="22">
        <v>0</v>
      </c>
      <c r="E366" s="22">
        <v>0</v>
      </c>
      <c r="F366" s="22">
        <v>0</v>
      </c>
      <c r="G366" s="22">
        <v>0</v>
      </c>
      <c r="H366" s="22">
        <v>0</v>
      </c>
      <c r="I366" s="22">
        <v>0</v>
      </c>
      <c r="J366" s="22">
        <v>0</v>
      </c>
      <c r="K366" s="22">
        <v>0</v>
      </c>
      <c r="L366" s="28">
        <f>IF(D366=F366+H366+J366,"Correcto","Falso")</f>
      </c>
      <c r="M366" s="28">
        <f>IF(E366=G366+I366+K366,"Correcto","Falso")</f>
      </c>
      <c r="N366" s="29">
        <f>D366-(F366+H366+J366)</f>
      </c>
      <c r="O366" s="29">
        <f>E366-(G366+I366+K366)</f>
      </c>
      <c r="P366" s="30">
        <f>IF(D366&gt;0,F366/D366,0)</f>
      </c>
      <c r="Q366" s="30">
        <f>IF(D366&gt;0,J366/D366,0)</f>
      </c>
    </row>
    <row r="367" spans="1:17" x14ac:dyDescent="0.25">
      <c r="A367" s="20" t="s">
        <v>304</v>
      </c>
      <c r="B367" s="20" t="s">
        <v>38</v>
      </c>
      <c r="C367" s="20" t="s">
        <v>319</v>
      </c>
      <c r="D367" s="22">
        <v>0</v>
      </c>
      <c r="E367" s="22">
        <v>0</v>
      </c>
      <c r="F367" s="22">
        <v>0</v>
      </c>
      <c r="G367" s="22">
        <v>0</v>
      </c>
      <c r="H367" s="22">
        <v>0</v>
      </c>
      <c r="I367" s="22">
        <v>0</v>
      </c>
      <c r="J367" s="22">
        <v>0</v>
      </c>
      <c r="K367" s="22">
        <v>0</v>
      </c>
      <c r="L367" s="28">
        <f>IF(D367=F367+H367+J367,"Correcto","Falso")</f>
      </c>
      <c r="M367" s="28">
        <f>IF(E367=G367+I367+K367,"Correcto","Falso")</f>
      </c>
      <c r="N367" s="29">
        <f>D367-(F367+H367+J367)</f>
      </c>
      <c r="O367" s="29">
        <f>E367-(G367+I367+K367)</f>
      </c>
      <c r="P367" s="30">
        <f>IF(D367&gt;0,F367/D367,0)</f>
      </c>
      <c r="Q367" s="30">
        <f>IF(D367&gt;0,J367/D367,0)</f>
      </c>
    </row>
    <row r="368" spans="1:17" x14ac:dyDescent="0.25">
      <c r="A368" s="20" t="s">
        <v>304</v>
      </c>
      <c r="B368" s="20" t="s">
        <v>38</v>
      </c>
      <c r="C368" s="20" t="s">
        <v>320</v>
      </c>
      <c r="D368" s="22">
        <v>0</v>
      </c>
      <c r="E368" s="22">
        <v>0</v>
      </c>
      <c r="F368" s="22">
        <v>0</v>
      </c>
      <c r="G368" s="22">
        <v>0</v>
      </c>
      <c r="H368" s="22">
        <v>0</v>
      </c>
      <c r="I368" s="22">
        <v>0</v>
      </c>
      <c r="J368" s="22">
        <v>0</v>
      </c>
      <c r="K368" s="22">
        <v>0</v>
      </c>
      <c r="L368" s="28">
        <f>IF(D368=F368+H368+J368,"Correcto","Falso")</f>
      </c>
      <c r="M368" s="28">
        <f>IF(E368=G368+I368+K368,"Correcto","Falso")</f>
      </c>
      <c r="N368" s="29">
        <f>D368-(F368+H368+J368)</f>
      </c>
      <c r="O368" s="29">
        <f>E368-(G368+I368+K368)</f>
      </c>
      <c r="P368" s="30">
        <f>IF(D368&gt;0,F368/D368,0)</f>
      </c>
      <c r="Q368" s="30">
        <f>IF(D368&gt;0,J368/D368,0)</f>
      </c>
    </row>
    <row r="369" spans="1:17" x14ac:dyDescent="0.25">
      <c r="A369" s="20" t="s">
        <v>304</v>
      </c>
      <c r="B369" s="20" t="s">
        <v>38</v>
      </c>
      <c r="C369" s="20" t="s">
        <v>321</v>
      </c>
      <c r="D369" s="22">
        <v>0</v>
      </c>
      <c r="E369" s="22">
        <v>0</v>
      </c>
      <c r="F369" s="22">
        <v>0</v>
      </c>
      <c r="G369" s="22">
        <v>0</v>
      </c>
      <c r="H369" s="22">
        <v>0</v>
      </c>
      <c r="I369" s="22">
        <v>0</v>
      </c>
      <c r="J369" s="22">
        <v>0</v>
      </c>
      <c r="K369" s="22">
        <v>0</v>
      </c>
      <c r="L369" s="28">
        <f>IF(D369=F369+H369+J369,"Correcto","Falso")</f>
      </c>
      <c r="M369" s="28">
        <f>IF(E369=G369+I369+K369,"Correcto","Falso")</f>
      </c>
      <c r="N369" s="29">
        <f>D369-(F369+H369+J369)</f>
      </c>
      <c r="O369" s="29">
        <f>E369-(G369+I369+K369)</f>
      </c>
      <c r="P369" s="30">
        <f>IF(D369&gt;0,F369/D369,0)</f>
      </c>
      <c r="Q369" s="30">
        <f>IF(D369&gt;0,J369/D369,0)</f>
      </c>
    </row>
    <row r="370" spans="1:17" x14ac:dyDescent="0.25">
      <c r="A370" s="20" t="s">
        <v>304</v>
      </c>
      <c r="B370" s="20" t="s">
        <v>38</v>
      </c>
      <c r="C370" s="20" t="s">
        <v>322</v>
      </c>
      <c r="D370" s="22">
        <v>0</v>
      </c>
      <c r="E370" s="22">
        <v>0</v>
      </c>
      <c r="F370" s="22">
        <v>0</v>
      </c>
      <c r="G370" s="22">
        <v>0</v>
      </c>
      <c r="H370" s="22">
        <v>0</v>
      </c>
      <c r="I370" s="22">
        <v>0</v>
      </c>
      <c r="J370" s="22">
        <v>0</v>
      </c>
      <c r="K370" s="22">
        <v>0</v>
      </c>
      <c r="L370" s="28">
        <f>IF(D370=F370+H370+J370,"Correcto","Falso")</f>
      </c>
      <c r="M370" s="28">
        <f>IF(E370=G370+I370+K370,"Correcto","Falso")</f>
      </c>
      <c r="N370" s="29">
        <f>D370-(F370+H370+J370)</f>
      </c>
      <c r="O370" s="29">
        <f>E370-(G370+I370+K370)</f>
      </c>
      <c r="P370" s="30">
        <f>IF(D370&gt;0,F370/D370,0)</f>
      </c>
      <c r="Q370" s="30">
        <f>IF(D370&gt;0,J370/D370,0)</f>
      </c>
    </row>
    <row r="371" spans="1:16" x14ac:dyDescent="0.25">
      <c r="A371" s="23" t="s">
        <v>79</v>
      </c>
      <c r="B371" s="23" t="s">
        <v>323</v>
      </c>
      <c r="C371" s="23" t="s">
        <v>324</v>
      </c>
      <c r="D371" s="24">
        <f>SUM(D353:D370)</f>
      </c>
      <c r="E371" s="24">
        <f>SUM(E353:E370)</f>
      </c>
      <c r="F371" s="24">
        <f>SUM(F353:F370)</f>
      </c>
      <c r="G371" s="24">
        <f>SUM(G353:G370)</f>
      </c>
      <c r="H371" s="24">
        <f>SUM(H353:H370)</f>
      </c>
      <c r="I371" s="24">
        <f>SUM(I353:I370)</f>
      </c>
      <c r="J371" s="24">
        <f>SUM(J353:J370)</f>
      </c>
      <c r="K371" s="24">
        <f>SUM(K353:K370)</f>
      </c>
      <c r="L371" s="31">
        <f>IF(D371=F371+H371+J371,"Correcto","Falso")</f>
      </c>
      <c r="M371" s="31">
        <f>IF(E371=G371+I371+K371,"Correcto","Falso")</f>
      </c>
      <c r="N371" s="32">
        <f>D371-(F371+H371+J371)</f>
      </c>
      <c r="O371" s="33">
        <f>IF(D371&gt;0,F371/D371,0)</f>
      </c>
      <c r="P371" s="33">
        <f>IF(D371&gt;0,J371/D371,0)</f>
      </c>
    </row>
    <row r="373" spans="1:16" x14ac:dyDescent="0.25">
      <c r="A373" s="23" t="s">
        <v>46</v>
      </c>
      <c r="B373" s="23" t="s">
        <v>325</v>
      </c>
      <c r="C373" s="23" t="s">
        <v>326</v>
      </c>
      <c r="D373" s="24">
        <f>SUM(D275,D327,D351,D371)</f>
      </c>
      <c r="E373" s="24">
        <f>SUM(E275,E327,E351,E371)</f>
      </c>
      <c r="F373" s="24">
        <f>SUM(F275,F327,F351,F371)</f>
      </c>
      <c r="G373" s="24">
        <f>SUM(G275,G327,G351,G371)</f>
      </c>
      <c r="H373" s="24">
        <f>SUM(H275,H327,H351,H371)</f>
      </c>
      <c r="I373" s="24">
        <f>SUM(I275,I327,I351,I371)</f>
      </c>
      <c r="J373" s="24">
        <f>SUM(J275,J327,J351,J371)</f>
      </c>
      <c r="K373" s="24">
        <f>SUM(K275,K327,K351,K371)</f>
      </c>
      <c r="L373" s="31">
        <f>IF(D373=F373+H373+J373,"Correcto","Falso")</f>
      </c>
      <c r="M373" s="31">
        <f>IF(E373=G373+I373+K373,"Correcto","Falso")</f>
      </c>
      <c r="N373" s="32">
        <f>D373-(F373+H373+J373)</f>
      </c>
      <c r="O373" s="33">
        <f>IF(D373&gt;0,F373/D373,0)</f>
      </c>
      <c r="P373" s="33">
        <f>IF(D373&gt;0,J373/D373,0)</f>
      </c>
    </row>
  </sheetData>
  <mergeCells count="11">
    <mergeCell ref="A2:Q2"/>
    <mergeCell ref="D5:E5"/>
    <mergeCell ref="F5:G5"/>
    <mergeCell ref="H5:I5"/>
    <mergeCell ref="J5:K5"/>
    <mergeCell ref="L5:M5"/>
    <mergeCell ref="N5:O5"/>
    <mergeCell ref="P5:Q5"/>
    <mergeCell ref="A5:A6"/>
    <mergeCell ref="B5:B6"/>
    <mergeCell ref="C5:C6"/>
  </mergeCells>
  <dataValidations count="1432">
    <dataValidation type="whole" operator="lessThanOrEqual" allowBlank="1" showErrorMessage="1" errorTitle="Mensagem de Erro" error="F não pode ser Superior a MF" sqref="E10">
      <formula1>D10</formula1>
    </dataValidation>
    <dataValidation type="whole" operator="lessThanOrEqual" allowBlank="1" showErrorMessage="1" errorTitle="Mensagem de Erro" error="F não pode ser Superior a MF" sqref="E100">
      <formula1>D100</formula1>
    </dataValidation>
    <dataValidation type="whole" operator="lessThanOrEqual" allowBlank="1" showErrorMessage="1" errorTitle="Mensagem de Erro" error="F não pode ser Superior a MF" sqref="E101">
      <formula1>D101</formula1>
    </dataValidation>
    <dataValidation type="whole" operator="lessThanOrEqual" allowBlank="1" showErrorMessage="1" errorTitle="Mensagem de Erro" error="F não pode ser Superior a MF" sqref="E102">
      <formula1>D102</formula1>
    </dataValidation>
    <dataValidation type="whole" operator="lessThanOrEqual" allowBlank="1" showErrorMessage="1" errorTitle="Mensagem de Erro" error="F não pode ser Superior a MF" sqref="E103">
      <formula1>D103</formula1>
    </dataValidation>
    <dataValidation type="whole" operator="lessThanOrEqual" allowBlank="1" showErrorMessage="1" errorTitle="Mensagem de Erro" error="F não pode ser Superior a MF" sqref="E104">
      <formula1>D104</formula1>
    </dataValidation>
    <dataValidation type="whole" operator="lessThanOrEqual" allowBlank="1" showErrorMessage="1" errorTitle="Mensagem de Erro" error="F não pode ser Superior a MF" sqref="E105">
      <formula1>D105</formula1>
    </dataValidation>
    <dataValidation type="whole" operator="lessThanOrEqual" allowBlank="1" showErrorMessage="1" errorTitle="Mensagem de Erro" error="F não pode ser Superior a MF" sqref="E106">
      <formula1>D106</formula1>
    </dataValidation>
    <dataValidation type="whole" operator="lessThanOrEqual" allowBlank="1" showErrorMessage="1" errorTitle="Mensagem de Erro" error="F não pode ser Superior a MF" sqref="E107">
      <formula1>D107</formula1>
    </dataValidation>
    <dataValidation type="whole" operator="lessThanOrEqual" allowBlank="1" showErrorMessage="1" errorTitle="Mensagem de Erro" error="F não pode ser Superior a MF" sqref="E108">
      <formula1>D108</formula1>
    </dataValidation>
    <dataValidation type="whole" operator="lessThanOrEqual" allowBlank="1" showErrorMessage="1" errorTitle="Mensagem de Erro" error="F não pode ser Superior a MF" sqref="E109">
      <formula1>D109</formula1>
    </dataValidation>
    <dataValidation type="whole" operator="lessThanOrEqual" allowBlank="1" showErrorMessage="1" errorTitle="Mensagem de Erro" error="F não pode ser Superior a MF" sqref="E11">
      <formula1>D11</formula1>
    </dataValidation>
    <dataValidation type="whole" operator="lessThanOrEqual" allowBlank="1" showErrorMessage="1" errorTitle="Mensagem de Erro" error="F não pode ser Superior a MF" sqref="E110">
      <formula1>D110</formula1>
    </dataValidation>
    <dataValidation type="whole" operator="lessThanOrEqual" allowBlank="1" showErrorMessage="1" errorTitle="Mensagem de Erro" error="F não pode ser Superior a MF" sqref="E111">
      <formula1>D111</formula1>
    </dataValidation>
    <dataValidation type="whole" operator="lessThanOrEqual" allowBlank="1" showErrorMessage="1" errorTitle="Mensagem de Erro" error="F não pode ser Superior a MF" sqref="E112">
      <formula1>D112</formula1>
    </dataValidation>
    <dataValidation type="whole" operator="lessThanOrEqual" allowBlank="1" showErrorMessage="1" errorTitle="Mensagem de Erro" error="F não pode ser Superior a MF" sqref="E113">
      <formula1>D113</formula1>
    </dataValidation>
    <dataValidation type="whole" operator="lessThanOrEqual" allowBlank="1" showErrorMessage="1" errorTitle="Mensagem de Erro" error="F não pode ser Superior a MF" sqref="E114">
      <formula1>D114</formula1>
    </dataValidation>
    <dataValidation type="whole" operator="lessThanOrEqual" allowBlank="1" showErrorMessage="1" errorTitle="Mensagem de Erro" error="F não pode ser Superior a MF" sqref="E115">
      <formula1>D115</formula1>
    </dataValidation>
    <dataValidation type="whole" operator="lessThanOrEqual" allowBlank="1" showErrorMessage="1" errorTitle="Mensagem de Erro" error="F não pode ser Superior a MF" sqref="E116">
      <formula1>D116</formula1>
    </dataValidation>
    <dataValidation type="whole" operator="lessThanOrEqual" allowBlank="1" showErrorMessage="1" errorTitle="Mensagem de Erro" error="F não pode ser Superior a MF" sqref="E117">
      <formula1>D117</formula1>
    </dataValidation>
    <dataValidation type="whole" operator="lessThanOrEqual" allowBlank="1" showErrorMessage="1" errorTitle="Mensagem de Erro" error="F não pode ser Superior a MF" sqref="E118">
      <formula1>D118</formula1>
    </dataValidation>
    <dataValidation type="whole" operator="lessThanOrEqual" allowBlank="1" showErrorMessage="1" errorTitle="Mensagem de Erro" error="F não pode ser Superior a MF" sqref="E119">
      <formula1>D119</formula1>
    </dataValidation>
    <dataValidation type="whole" operator="lessThanOrEqual" allowBlank="1" showErrorMessage="1" errorTitle="Mensagem de Erro" error="F não pode ser Superior a MF" sqref="E12">
      <formula1>D12</formula1>
    </dataValidation>
    <dataValidation type="whole" operator="lessThanOrEqual" allowBlank="1" showErrorMessage="1" errorTitle="Mensagem de Erro" error="F não pode ser Superior a MF" sqref="E120">
      <formula1>D120</formula1>
    </dataValidation>
    <dataValidation type="whole" operator="lessThanOrEqual" allowBlank="1" showErrorMessage="1" errorTitle="Mensagem de Erro" error="F não pode ser Superior a MF" sqref="E121">
      <formula1>D121</formula1>
    </dataValidation>
    <dataValidation type="whole" operator="lessThanOrEqual" allowBlank="1" showErrorMessage="1" errorTitle="Mensagem de Erro" error="F não pode ser Superior a MF" sqref="E122">
      <formula1>D122</formula1>
    </dataValidation>
    <dataValidation type="whole" operator="lessThanOrEqual" allowBlank="1" showErrorMessage="1" errorTitle="Mensagem de Erro" error="F não pode ser Superior a MF" sqref="E123">
      <formula1>D123</formula1>
    </dataValidation>
    <dataValidation type="whole" operator="lessThanOrEqual" allowBlank="1" showErrorMessage="1" errorTitle="Mensagem de Erro" error="F não pode ser Superior a MF" sqref="E124">
      <formula1>D124</formula1>
    </dataValidation>
    <dataValidation type="whole" operator="lessThanOrEqual" allowBlank="1" showErrorMessage="1" errorTitle="Mensagem de Erro" error="F não pode ser Superior a MF" sqref="E125">
      <formula1>D125</formula1>
    </dataValidation>
    <dataValidation type="whole" operator="lessThanOrEqual" allowBlank="1" showErrorMessage="1" errorTitle="Mensagem de Erro" error="F não pode ser Superior a MF" sqref="E126">
      <formula1>D126</formula1>
    </dataValidation>
    <dataValidation type="whole" operator="lessThanOrEqual" allowBlank="1" showErrorMessage="1" errorTitle="Mensagem de Erro" error="F não pode ser Superior a MF" sqref="E127">
      <formula1>D127</formula1>
    </dataValidation>
    <dataValidation type="whole" operator="lessThanOrEqual" allowBlank="1" showErrorMessage="1" errorTitle="Mensagem de Erro" error="F não pode ser Superior a MF" sqref="E128">
      <formula1>D128</formula1>
    </dataValidation>
    <dataValidation type="whole" operator="lessThanOrEqual" allowBlank="1" showErrorMessage="1" errorTitle="Mensagem de Erro" error="F não pode ser Superior a MF" sqref="E129">
      <formula1>D129</formula1>
    </dataValidation>
    <dataValidation type="whole" operator="lessThanOrEqual" allowBlank="1" showErrorMessage="1" errorTitle="Mensagem de Erro" error="F não pode ser Superior a MF" sqref="E13">
      <formula1>D13</formula1>
    </dataValidation>
    <dataValidation type="whole" operator="lessThanOrEqual" allowBlank="1" showErrorMessage="1" errorTitle="Mensagem de Erro" error="F não pode ser Superior a MF" sqref="E130">
      <formula1>D130</formula1>
    </dataValidation>
    <dataValidation type="whole" operator="lessThanOrEqual" allowBlank="1" showErrorMessage="1" errorTitle="Mensagem de Erro" error="F não pode ser Superior a MF" sqref="E131">
      <formula1>D131</formula1>
    </dataValidation>
    <dataValidation type="whole" operator="lessThanOrEqual" allowBlank="1" showErrorMessage="1" errorTitle="Mensagem de Erro" error="F não pode ser Superior a MF" sqref="E132">
      <formula1>D132</formula1>
    </dataValidation>
    <dataValidation type="whole" operator="lessThanOrEqual" allowBlank="1" showErrorMessage="1" errorTitle="Mensagem de Erro" error="F não pode ser Superior a MF" sqref="E133">
      <formula1>D133</formula1>
    </dataValidation>
    <dataValidation type="whole" operator="lessThanOrEqual" allowBlank="1" showErrorMessage="1" errorTitle="Mensagem de Erro" error="F não pode ser Superior a MF" sqref="E134">
      <formula1>D134</formula1>
    </dataValidation>
    <dataValidation type="whole" operator="lessThanOrEqual" allowBlank="1" showErrorMessage="1" errorTitle="Mensagem de Erro" error="F não pode ser Superior a MF" sqref="E135">
      <formula1>D135</formula1>
    </dataValidation>
    <dataValidation type="whole" operator="lessThanOrEqual" allowBlank="1" showErrorMessage="1" errorTitle="Mensagem de Erro" error="F não pode ser Superior a MF" sqref="E136">
      <formula1>D136</formula1>
    </dataValidation>
    <dataValidation type="whole" operator="lessThanOrEqual" allowBlank="1" showErrorMessage="1" errorTitle="Mensagem de Erro" error="F não pode ser Superior a MF" sqref="E137">
      <formula1>D137</formula1>
    </dataValidation>
    <dataValidation type="whole" operator="lessThanOrEqual" allowBlank="1" showErrorMessage="1" errorTitle="Mensagem de Erro" error="F não pode ser Superior a MF" sqref="E138">
      <formula1>D138</formula1>
    </dataValidation>
    <dataValidation type="whole" operator="lessThanOrEqual" allowBlank="1" showErrorMessage="1" errorTitle="Mensagem de Erro" error="F não pode ser Superior a MF" sqref="E139">
      <formula1>D139</formula1>
    </dataValidation>
    <dataValidation type="whole" operator="lessThanOrEqual" allowBlank="1" showErrorMessage="1" errorTitle="Mensagem de Erro" error="F não pode ser Superior a MF" sqref="E14">
      <formula1>D14</formula1>
    </dataValidation>
    <dataValidation type="whole" operator="lessThanOrEqual" allowBlank="1" showErrorMessage="1" errorTitle="Mensagem de Erro" error="F não pode ser Superior a MF" sqref="E140">
      <formula1>D140</formula1>
    </dataValidation>
    <dataValidation type="whole" operator="lessThanOrEqual" allowBlank="1" showErrorMessage="1" errorTitle="Mensagem de Erro" error="F não pode ser Superior a MF" sqref="E141">
      <formula1>D141</formula1>
    </dataValidation>
    <dataValidation type="whole" operator="lessThanOrEqual" allowBlank="1" showErrorMessage="1" errorTitle="Mensagem de Erro" error="F não pode ser Superior a MF" sqref="E142">
      <formula1>D142</formula1>
    </dataValidation>
    <dataValidation type="whole" operator="lessThanOrEqual" allowBlank="1" showErrorMessage="1" errorTitle="Mensagem de Erro" error="F não pode ser Superior a MF" sqref="E143">
      <formula1>D143</formula1>
    </dataValidation>
    <dataValidation type="whole" operator="lessThanOrEqual" allowBlank="1" showErrorMessage="1" errorTitle="Mensagem de Erro" error="F não pode ser Superior a MF" sqref="E144">
      <formula1>D144</formula1>
    </dataValidation>
    <dataValidation type="whole" operator="lessThanOrEqual" allowBlank="1" showErrorMessage="1" errorTitle="Mensagem de Erro" error="F não pode ser Superior a MF" sqref="E145">
      <formula1>D145</formula1>
    </dataValidation>
    <dataValidation type="whole" operator="lessThanOrEqual" allowBlank="1" showErrorMessage="1" errorTitle="Mensagem de Erro" error="F não pode ser Superior a MF" sqref="E146">
      <formula1>D146</formula1>
    </dataValidation>
    <dataValidation type="whole" operator="lessThanOrEqual" allowBlank="1" showErrorMessage="1" errorTitle="Mensagem de Erro" error="F não pode ser Superior a MF" sqref="E147">
      <formula1>D147</formula1>
    </dataValidation>
    <dataValidation type="whole" operator="lessThanOrEqual" allowBlank="1" showErrorMessage="1" errorTitle="Mensagem de Erro" error="F não pode ser Superior a MF" sqref="E148">
      <formula1>D148</formula1>
    </dataValidation>
    <dataValidation type="whole" operator="lessThanOrEqual" allowBlank="1" showErrorMessage="1" errorTitle="Mensagem de Erro" error="F não pode ser Superior a MF" sqref="E149">
      <formula1>D149</formula1>
    </dataValidation>
    <dataValidation type="whole" operator="lessThanOrEqual" allowBlank="1" showErrorMessage="1" errorTitle="Mensagem de Erro" error="F não pode ser Superior a MF" sqref="E15">
      <formula1>D15</formula1>
    </dataValidation>
    <dataValidation type="whole" operator="lessThanOrEqual" allowBlank="1" showErrorMessage="1" errorTitle="Mensagem de Erro" error="F não pode ser Superior a MF" sqref="E150">
      <formula1>D150</formula1>
    </dataValidation>
    <dataValidation type="whole" operator="lessThanOrEqual" allowBlank="1" showErrorMessage="1" errorTitle="Mensagem de Erro" error="F não pode ser Superior a MF" sqref="E151">
      <formula1>D151</formula1>
    </dataValidation>
    <dataValidation type="whole" operator="lessThanOrEqual" allowBlank="1" showErrorMessage="1" errorTitle="Mensagem de Erro" error="F não pode ser Superior a MF" sqref="E152">
      <formula1>D152</formula1>
    </dataValidation>
    <dataValidation type="whole" operator="lessThanOrEqual" allowBlank="1" showErrorMessage="1" errorTitle="Mensagem de Erro" error="F não pode ser Superior a MF" sqref="E153">
      <formula1>D153</formula1>
    </dataValidation>
    <dataValidation type="whole" operator="lessThanOrEqual" allowBlank="1" showErrorMessage="1" errorTitle="Mensagem de Erro" error="F não pode ser Superior a MF" sqref="E154">
      <formula1>D154</formula1>
    </dataValidation>
    <dataValidation type="whole" operator="lessThanOrEqual" allowBlank="1" showErrorMessage="1" errorTitle="Mensagem de Erro" error="F não pode ser Superior a MF" sqref="E155">
      <formula1>D155</formula1>
    </dataValidation>
    <dataValidation type="whole" operator="lessThanOrEqual" allowBlank="1" showErrorMessage="1" errorTitle="Mensagem de Erro" error="F não pode ser Superior a MF" sqref="E156">
      <formula1>D156</formula1>
    </dataValidation>
    <dataValidation type="whole" operator="lessThanOrEqual" allowBlank="1" showErrorMessage="1" errorTitle="Mensagem de Erro" error="F não pode ser Superior a MF" sqref="E157">
      <formula1>D157</formula1>
    </dataValidation>
    <dataValidation type="whole" operator="lessThanOrEqual" allowBlank="1" showErrorMessage="1" errorTitle="Mensagem de Erro" error="F não pode ser Superior a MF" sqref="E158">
      <formula1>D158</formula1>
    </dataValidation>
    <dataValidation type="whole" operator="lessThanOrEqual" allowBlank="1" showErrorMessage="1" errorTitle="Mensagem de Erro" error="F não pode ser Superior a MF" sqref="E159">
      <formula1>D159</formula1>
    </dataValidation>
    <dataValidation type="whole" operator="lessThanOrEqual" allowBlank="1" showErrorMessage="1" errorTitle="Mensagem de Erro" error="F não pode ser Superior a MF" sqref="E16">
      <formula1>D16</formula1>
    </dataValidation>
    <dataValidation type="whole" operator="lessThanOrEqual" allowBlank="1" showErrorMessage="1" errorTitle="Mensagem de Erro" error="F não pode ser Superior a MF" sqref="E160">
      <formula1>D160</formula1>
    </dataValidation>
    <dataValidation type="whole" operator="lessThanOrEqual" allowBlank="1" showErrorMessage="1" errorTitle="Mensagem de Erro" error="F não pode ser Superior a MF" sqref="E161">
      <formula1>D161</formula1>
    </dataValidation>
    <dataValidation type="whole" operator="lessThanOrEqual" allowBlank="1" showErrorMessage="1" errorTitle="Mensagem de Erro" error="F não pode ser Superior a MF" sqref="E162">
      <formula1>D162</formula1>
    </dataValidation>
    <dataValidation type="whole" operator="lessThanOrEqual" allowBlank="1" showErrorMessage="1" errorTitle="Mensagem de Erro" error="F não pode ser Superior a MF" sqref="E163">
      <formula1>D163</formula1>
    </dataValidation>
    <dataValidation type="whole" operator="lessThanOrEqual" allowBlank="1" showErrorMessage="1" errorTitle="Mensagem de Erro" error="F não pode ser Superior a MF" sqref="E164">
      <formula1>D164</formula1>
    </dataValidation>
    <dataValidation type="whole" operator="lessThanOrEqual" allowBlank="1" showErrorMessage="1" errorTitle="Mensagem de Erro" error="F não pode ser Superior a MF" sqref="E165">
      <formula1>D165</formula1>
    </dataValidation>
    <dataValidation type="whole" operator="lessThanOrEqual" allowBlank="1" showErrorMessage="1" errorTitle="Mensagem de Erro" error="F não pode ser Superior a MF" sqref="E166">
      <formula1>D166</formula1>
    </dataValidation>
    <dataValidation type="whole" operator="lessThanOrEqual" allowBlank="1" showErrorMessage="1" errorTitle="Mensagem de Erro" error="F não pode ser Superior a MF" sqref="E167">
      <formula1>D167</formula1>
    </dataValidation>
    <dataValidation type="whole" operator="lessThanOrEqual" allowBlank="1" showErrorMessage="1" errorTitle="Mensagem de Erro" error="F não pode ser Superior a MF" sqref="E168">
      <formula1>D168</formula1>
    </dataValidation>
    <dataValidation type="whole" operator="lessThanOrEqual" allowBlank="1" showErrorMessage="1" errorTitle="Mensagem de Erro" error="F não pode ser Superior a MF" sqref="E169">
      <formula1>D169</formula1>
    </dataValidation>
    <dataValidation type="whole" operator="lessThanOrEqual" allowBlank="1" showErrorMessage="1" errorTitle="Mensagem de Erro" error="F não pode ser Superior a MF" sqref="E17">
      <formula1>D17</formula1>
    </dataValidation>
    <dataValidation type="whole" operator="lessThanOrEqual" allowBlank="1" showErrorMessage="1" errorTitle="Mensagem de Erro" error="F não pode ser Superior a MF" sqref="E170">
      <formula1>D170</formula1>
    </dataValidation>
    <dataValidation type="whole" operator="lessThanOrEqual" allowBlank="1" showErrorMessage="1" errorTitle="Mensagem de Erro" error="F não pode ser Superior a MF" sqref="E171">
      <formula1>D171</formula1>
    </dataValidation>
    <dataValidation type="whole" operator="lessThanOrEqual" allowBlank="1" showErrorMessage="1" errorTitle="Mensagem de Erro" error="F não pode ser Superior a MF" sqref="E172">
      <formula1>D172</formula1>
    </dataValidation>
    <dataValidation type="whole" operator="lessThanOrEqual" allowBlank="1" showErrorMessage="1" errorTitle="Mensagem de Erro" error="F não pode ser Superior a MF" sqref="E173">
      <formula1>D173</formula1>
    </dataValidation>
    <dataValidation type="whole" operator="lessThanOrEqual" allowBlank="1" showErrorMessage="1" errorTitle="Mensagem de Erro" error="F não pode ser Superior a MF" sqref="E174">
      <formula1>D174</formula1>
    </dataValidation>
    <dataValidation type="whole" operator="lessThanOrEqual" allowBlank="1" showErrorMessage="1" errorTitle="Mensagem de Erro" error="F não pode ser Superior a MF" sqref="E175">
      <formula1>D175</formula1>
    </dataValidation>
    <dataValidation type="whole" operator="lessThanOrEqual" allowBlank="1" showErrorMessage="1" errorTitle="Mensagem de Erro" error="F não pode ser Superior a MF" sqref="E176">
      <formula1>D176</formula1>
    </dataValidation>
    <dataValidation type="whole" operator="lessThanOrEqual" allowBlank="1" showErrorMessage="1" errorTitle="Mensagem de Erro" error="F não pode ser Superior a MF" sqref="E177">
      <formula1>D177</formula1>
    </dataValidation>
    <dataValidation type="whole" operator="lessThanOrEqual" allowBlank="1" showErrorMessage="1" errorTitle="Mensagem de Erro" error="F não pode ser Superior a MF" sqref="E178">
      <formula1>D178</formula1>
    </dataValidation>
    <dataValidation type="whole" operator="lessThanOrEqual" allowBlank="1" showErrorMessage="1" errorTitle="Mensagem de Erro" error="F não pode ser Superior a MF" sqref="E179">
      <formula1>D179</formula1>
    </dataValidation>
    <dataValidation type="whole" operator="lessThanOrEqual" allowBlank="1" showErrorMessage="1" errorTitle="Mensagem de Erro" error="F não pode ser Superior a MF" sqref="E18">
      <formula1>D18</formula1>
    </dataValidation>
    <dataValidation type="whole" operator="lessThanOrEqual" allowBlank="1" showErrorMessage="1" errorTitle="Mensagem de Erro" error="F não pode ser Superior a MF" sqref="E180">
      <formula1>D180</formula1>
    </dataValidation>
    <dataValidation type="whole" operator="lessThanOrEqual" allowBlank="1" showErrorMessage="1" errorTitle="Mensagem de Erro" error="F não pode ser Superior a MF" sqref="E181">
      <formula1>D181</formula1>
    </dataValidation>
    <dataValidation type="whole" operator="lessThanOrEqual" allowBlank="1" showErrorMessage="1" errorTitle="Mensagem de Erro" error="F não pode ser Superior a MF" sqref="E182">
      <formula1>D182</formula1>
    </dataValidation>
    <dataValidation type="whole" operator="lessThanOrEqual" allowBlank="1" showErrorMessage="1" errorTitle="Mensagem de Erro" error="F não pode ser Superior a MF" sqref="E183">
      <formula1>D183</formula1>
    </dataValidation>
    <dataValidation type="whole" operator="lessThanOrEqual" allowBlank="1" showErrorMessage="1" errorTitle="Mensagem de Erro" error="F não pode ser Superior a MF" sqref="E184">
      <formula1>D184</formula1>
    </dataValidation>
    <dataValidation type="whole" operator="lessThanOrEqual" allowBlank="1" showErrorMessage="1" errorTitle="Mensagem de Erro" error="F não pode ser Superior a MF" sqref="E185">
      <formula1>D185</formula1>
    </dataValidation>
    <dataValidation type="whole" operator="lessThanOrEqual" allowBlank="1" showErrorMessage="1" errorTitle="Mensagem de Erro" error="F não pode ser Superior a MF" sqref="E186">
      <formula1>D186</formula1>
    </dataValidation>
    <dataValidation type="whole" operator="lessThanOrEqual" allowBlank="1" showErrorMessage="1" errorTitle="Mensagem de Erro" error="F não pode ser Superior a MF" sqref="E187">
      <formula1>D187</formula1>
    </dataValidation>
    <dataValidation type="whole" operator="lessThanOrEqual" allowBlank="1" showErrorMessage="1" errorTitle="Mensagem de Erro" error="F não pode ser Superior a MF" sqref="E188">
      <formula1>D188</formula1>
    </dataValidation>
    <dataValidation type="whole" operator="lessThanOrEqual" allowBlank="1" showErrorMessage="1" errorTitle="Mensagem de Erro" error="F não pode ser Superior a MF" sqref="E189">
      <formula1>D189</formula1>
    </dataValidation>
    <dataValidation type="whole" operator="lessThanOrEqual" allowBlank="1" showErrorMessage="1" errorTitle="Mensagem de Erro" error="F não pode ser Superior a MF" sqref="E19">
      <formula1>D19</formula1>
    </dataValidation>
    <dataValidation type="whole" operator="lessThanOrEqual" allowBlank="1" showErrorMessage="1" errorTitle="Mensagem de Erro" error="F não pode ser Superior a MF" sqref="E190">
      <formula1>D190</formula1>
    </dataValidation>
    <dataValidation type="whole" operator="lessThanOrEqual" allowBlank="1" showErrorMessage="1" errorTitle="Mensagem de Erro" error="F não pode ser Superior a MF" sqref="E191">
      <formula1>D191</formula1>
    </dataValidation>
    <dataValidation type="whole" operator="lessThanOrEqual" allowBlank="1" showErrorMessage="1" errorTitle="Mensagem de Erro" error="F não pode ser Superior a MF" sqref="E192">
      <formula1>D192</formula1>
    </dataValidation>
    <dataValidation type="whole" operator="lessThanOrEqual" allowBlank="1" showErrorMessage="1" errorTitle="Mensagem de Erro" error="F não pode ser Superior a MF" sqref="E193">
      <formula1>D193</formula1>
    </dataValidation>
    <dataValidation type="whole" operator="lessThanOrEqual" allowBlank="1" showErrorMessage="1" errorTitle="Mensagem de Erro" error="F não pode ser Superior a MF" sqref="E194">
      <formula1>D194</formula1>
    </dataValidation>
    <dataValidation type="whole" operator="lessThanOrEqual" allowBlank="1" showErrorMessage="1" errorTitle="Mensagem de Erro" error="F não pode ser Superior a MF" sqref="E195">
      <formula1>D195</formula1>
    </dataValidation>
    <dataValidation type="whole" operator="lessThanOrEqual" allowBlank="1" showErrorMessage="1" errorTitle="Mensagem de Erro" error="F não pode ser Superior a MF" sqref="E196">
      <formula1>D196</formula1>
    </dataValidation>
    <dataValidation type="whole" operator="lessThanOrEqual" allowBlank="1" showErrorMessage="1" errorTitle="Mensagem de Erro" error="F não pode ser Superior a MF" sqref="E197">
      <formula1>D197</formula1>
    </dataValidation>
    <dataValidation type="whole" operator="lessThanOrEqual" allowBlank="1" showErrorMessage="1" errorTitle="Mensagem de Erro" error="F não pode ser Superior a MF" sqref="E198">
      <formula1>D198</formula1>
    </dataValidation>
    <dataValidation type="whole" operator="lessThanOrEqual" allowBlank="1" showErrorMessage="1" errorTitle="Mensagem de Erro" error="F não pode ser Superior a MF" sqref="E199">
      <formula1>D199</formula1>
    </dataValidation>
    <dataValidation type="whole" operator="lessThanOrEqual" allowBlank="1" showErrorMessage="1" errorTitle="Mensagem de Erro" error="F não pode ser Superior a MF" sqref="E20">
      <formula1>D20</formula1>
    </dataValidation>
    <dataValidation type="whole" operator="lessThanOrEqual" allowBlank="1" showErrorMessage="1" errorTitle="Mensagem de Erro" error="F não pode ser Superior a MF" sqref="E200">
      <formula1>D200</formula1>
    </dataValidation>
    <dataValidation type="whole" operator="lessThanOrEqual" allowBlank="1" showErrorMessage="1" errorTitle="Mensagem de Erro" error="F não pode ser Superior a MF" sqref="E201">
      <formula1>D201</formula1>
    </dataValidation>
    <dataValidation type="whole" operator="lessThanOrEqual" allowBlank="1" showErrorMessage="1" errorTitle="Mensagem de Erro" error="F não pode ser Superior a MF" sqref="E202">
      <formula1>D202</formula1>
    </dataValidation>
    <dataValidation type="whole" operator="lessThanOrEqual" allowBlank="1" showErrorMessage="1" errorTitle="Mensagem de Erro" error="F não pode ser Superior a MF" sqref="E203">
      <formula1>D203</formula1>
    </dataValidation>
    <dataValidation type="whole" operator="lessThanOrEqual" allowBlank="1" showErrorMessage="1" errorTitle="Mensagem de Erro" error="F não pode ser Superior a MF" sqref="E204">
      <formula1>D204</formula1>
    </dataValidation>
    <dataValidation type="whole" operator="lessThanOrEqual" allowBlank="1" showErrorMessage="1" errorTitle="Mensagem de Erro" error="F não pode ser Superior a MF" sqref="E205">
      <formula1>D205</formula1>
    </dataValidation>
    <dataValidation type="whole" operator="lessThanOrEqual" allowBlank="1" showErrorMessage="1" errorTitle="Mensagem de Erro" error="F não pode ser Superior a MF" sqref="E206">
      <formula1>D206</formula1>
    </dataValidation>
    <dataValidation type="whole" operator="lessThanOrEqual" allowBlank="1" showErrorMessage="1" errorTitle="Mensagem de Erro" error="F não pode ser Superior a MF" sqref="E207">
      <formula1>D207</formula1>
    </dataValidation>
    <dataValidation type="whole" operator="lessThanOrEqual" allowBlank="1" showErrorMessage="1" errorTitle="Mensagem de Erro" error="F não pode ser Superior a MF" sqref="E208">
      <formula1>D208</formula1>
    </dataValidation>
    <dataValidation type="whole" operator="lessThanOrEqual" allowBlank="1" showErrorMessage="1" errorTitle="Mensagem de Erro" error="F não pode ser Superior a MF" sqref="E209">
      <formula1>D209</formula1>
    </dataValidation>
    <dataValidation type="whole" operator="lessThanOrEqual" allowBlank="1" showErrorMessage="1" errorTitle="Mensagem de Erro" error="F não pode ser Superior a MF" sqref="E21">
      <formula1>D21</formula1>
    </dataValidation>
    <dataValidation type="whole" operator="lessThanOrEqual" allowBlank="1" showErrorMessage="1" errorTitle="Mensagem de Erro" error="F não pode ser Superior a MF" sqref="E210">
      <formula1>D210</formula1>
    </dataValidation>
    <dataValidation type="whole" operator="lessThanOrEqual" allowBlank="1" showErrorMessage="1" errorTitle="Mensagem de Erro" error="F não pode ser Superior a MF" sqref="E211">
      <formula1>D211</formula1>
    </dataValidation>
    <dataValidation type="whole" operator="lessThanOrEqual" allowBlank="1" showErrorMessage="1" errorTitle="Mensagem de Erro" error="F não pode ser Superior a MF" sqref="E212">
      <formula1>D212</formula1>
    </dataValidation>
    <dataValidation type="whole" operator="lessThanOrEqual" allowBlank="1" showErrorMessage="1" errorTitle="Mensagem de Erro" error="F não pode ser Superior a MF" sqref="E213">
      <formula1>D213</formula1>
    </dataValidation>
    <dataValidation type="whole" operator="lessThanOrEqual" allowBlank="1" showErrorMessage="1" errorTitle="Mensagem de Erro" error="F não pode ser Superior a MF" sqref="E214">
      <formula1>D214</formula1>
    </dataValidation>
    <dataValidation type="whole" operator="lessThanOrEqual" allowBlank="1" showErrorMessage="1" errorTitle="Mensagem de Erro" error="F não pode ser Superior a MF" sqref="E215">
      <formula1>D215</formula1>
    </dataValidation>
    <dataValidation type="whole" operator="lessThanOrEqual" allowBlank="1" showErrorMessage="1" errorTitle="Mensagem de Erro" error="F não pode ser Superior a MF" sqref="E216">
      <formula1>D216</formula1>
    </dataValidation>
    <dataValidation type="whole" operator="lessThanOrEqual" allowBlank="1" showErrorMessage="1" errorTitle="Mensagem de Erro" error="F não pode ser Superior a MF" sqref="E217">
      <formula1>D217</formula1>
    </dataValidation>
    <dataValidation type="whole" operator="lessThanOrEqual" allowBlank="1" showErrorMessage="1" errorTitle="Mensagem de Erro" error="F não pode ser Superior a MF" sqref="E218">
      <formula1>D218</formula1>
    </dataValidation>
    <dataValidation type="whole" operator="lessThanOrEqual" allowBlank="1" showErrorMessage="1" errorTitle="Mensagem de Erro" error="F não pode ser Superior a MF" sqref="E219">
      <formula1>D219</formula1>
    </dataValidation>
    <dataValidation type="whole" operator="lessThanOrEqual" allowBlank="1" showErrorMessage="1" errorTitle="Mensagem de Erro" error="F não pode ser Superior a MF" sqref="E22">
      <formula1>D22</formula1>
    </dataValidation>
    <dataValidation type="whole" operator="lessThanOrEqual" allowBlank="1" showErrorMessage="1" errorTitle="Mensagem de Erro" error="F não pode ser Superior a MF" sqref="E220">
      <formula1>D220</formula1>
    </dataValidation>
    <dataValidation type="whole" operator="lessThanOrEqual" allowBlank="1" showErrorMessage="1" errorTitle="Mensagem de Erro" error="F não pode ser Superior a MF" sqref="E221">
      <formula1>D221</formula1>
    </dataValidation>
    <dataValidation type="whole" operator="lessThanOrEqual" allowBlank="1" showErrorMessage="1" errorTitle="Mensagem de Erro" error="F não pode ser Superior a MF" sqref="E222">
      <formula1>D222</formula1>
    </dataValidation>
    <dataValidation type="whole" operator="lessThanOrEqual" allowBlank="1" showErrorMessage="1" errorTitle="Mensagem de Erro" error="F não pode ser Superior a MF" sqref="E223">
      <formula1>D223</formula1>
    </dataValidation>
    <dataValidation type="whole" operator="lessThanOrEqual" allowBlank="1" showErrorMessage="1" errorTitle="Mensagem de Erro" error="F não pode ser Superior a MF" sqref="E224">
      <formula1>D224</formula1>
    </dataValidation>
    <dataValidation type="whole" operator="lessThanOrEqual" allowBlank="1" showErrorMessage="1" errorTitle="Mensagem de Erro" error="F não pode ser Superior a MF" sqref="E225">
      <formula1>D225</formula1>
    </dataValidation>
    <dataValidation type="whole" operator="lessThanOrEqual" allowBlank="1" showErrorMessage="1" errorTitle="Mensagem de Erro" error="F não pode ser Superior a MF" sqref="E226">
      <formula1>D226</formula1>
    </dataValidation>
    <dataValidation type="whole" operator="lessThanOrEqual" allowBlank="1" showErrorMessage="1" errorTitle="Mensagem de Erro" error="F não pode ser Superior a MF" sqref="E227">
      <formula1>D227</formula1>
    </dataValidation>
    <dataValidation type="whole" operator="lessThanOrEqual" allowBlank="1" showErrorMessage="1" errorTitle="Mensagem de Erro" error="F não pode ser Superior a MF" sqref="E228">
      <formula1>D228</formula1>
    </dataValidation>
    <dataValidation type="whole" operator="lessThanOrEqual" allowBlank="1" showErrorMessage="1" errorTitle="Mensagem de Erro" error="F não pode ser Superior a MF" sqref="E229">
      <formula1>D229</formula1>
    </dataValidation>
    <dataValidation type="whole" operator="lessThanOrEqual" allowBlank="1" showErrorMessage="1" errorTitle="Mensagem de Erro" error="F não pode ser Superior a MF" sqref="E23">
      <formula1>D23</formula1>
    </dataValidation>
    <dataValidation type="whole" operator="lessThanOrEqual" allowBlank="1" showErrorMessage="1" errorTitle="Mensagem de Erro" error="F não pode ser Superior a MF" sqref="E230">
      <formula1>D230</formula1>
    </dataValidation>
    <dataValidation type="whole" operator="lessThanOrEqual" allowBlank="1" showErrorMessage="1" errorTitle="Mensagem de Erro" error="F não pode ser Superior a MF" sqref="E231">
      <formula1>D231</formula1>
    </dataValidation>
    <dataValidation type="whole" operator="lessThanOrEqual" allowBlank="1" showErrorMessage="1" errorTitle="Mensagem de Erro" error="F não pode ser Superior a MF" sqref="E232">
      <formula1>D232</formula1>
    </dataValidation>
    <dataValidation type="whole" operator="lessThanOrEqual" allowBlank="1" showErrorMessage="1" errorTitle="Mensagem de Erro" error="F não pode ser Superior a MF" sqref="E233">
      <formula1>D233</formula1>
    </dataValidation>
    <dataValidation type="whole" operator="lessThanOrEqual" allowBlank="1" showErrorMessage="1" errorTitle="Mensagem de Erro" error="F não pode ser Superior a MF" sqref="E234">
      <formula1>D234</formula1>
    </dataValidation>
    <dataValidation type="whole" operator="lessThanOrEqual" allowBlank="1" showErrorMessage="1" errorTitle="Mensagem de Erro" error="F não pode ser Superior a MF" sqref="E235">
      <formula1>D235</formula1>
    </dataValidation>
    <dataValidation type="whole" operator="lessThanOrEqual" allowBlank="1" showErrorMessage="1" errorTitle="Mensagem de Erro" error="F não pode ser Superior a MF" sqref="E236">
      <formula1>D236</formula1>
    </dataValidation>
    <dataValidation type="whole" operator="lessThanOrEqual" allowBlank="1" showErrorMessage="1" errorTitle="Mensagem de Erro" error="F não pode ser Superior a MF" sqref="E237">
      <formula1>D237</formula1>
    </dataValidation>
    <dataValidation type="whole" operator="lessThanOrEqual" allowBlank="1" showErrorMessage="1" errorTitle="Mensagem de Erro" error="F não pode ser Superior a MF" sqref="E238">
      <formula1>D238</formula1>
    </dataValidation>
    <dataValidation type="whole" operator="lessThanOrEqual" allowBlank="1" showErrorMessage="1" errorTitle="Mensagem de Erro" error="F não pode ser Superior a MF" sqref="E239">
      <formula1>D239</formula1>
    </dataValidation>
    <dataValidation type="whole" operator="lessThanOrEqual" allowBlank="1" showErrorMessage="1" errorTitle="Mensagem de Erro" error="F não pode ser Superior a MF" sqref="E24">
      <formula1>D24</formula1>
    </dataValidation>
    <dataValidation type="whole" operator="lessThanOrEqual" allowBlank="1" showErrorMessage="1" errorTitle="Mensagem de Erro" error="F não pode ser Superior a MF" sqref="E240">
      <formula1>D240</formula1>
    </dataValidation>
    <dataValidation type="whole" operator="lessThanOrEqual" allowBlank="1" showErrorMessage="1" errorTitle="Mensagem de Erro" error="F não pode ser Superior a MF" sqref="E241">
      <formula1>D241</formula1>
    </dataValidation>
    <dataValidation type="whole" operator="lessThanOrEqual" allowBlank="1" showErrorMessage="1" errorTitle="Mensagem de Erro" error="F não pode ser Superior a MF" sqref="E242">
      <formula1>D242</formula1>
    </dataValidation>
    <dataValidation type="whole" operator="lessThanOrEqual" allowBlank="1" showErrorMessage="1" errorTitle="Mensagem de Erro" error="F não pode ser Superior a MF" sqref="E243">
      <formula1>D243</formula1>
    </dataValidation>
    <dataValidation type="whole" operator="lessThanOrEqual" allowBlank="1" showErrorMessage="1" errorTitle="Mensagem de Erro" error="F não pode ser Superior a MF" sqref="E244">
      <formula1>D244</formula1>
    </dataValidation>
    <dataValidation type="whole" operator="lessThanOrEqual" allowBlank="1" showErrorMessage="1" errorTitle="Mensagem de Erro" error="F não pode ser Superior a MF" sqref="E245">
      <formula1>D245</formula1>
    </dataValidation>
    <dataValidation type="whole" operator="lessThanOrEqual" allowBlank="1" showErrorMessage="1" errorTitle="Mensagem de Erro" error="F não pode ser Superior a MF" sqref="E246">
      <formula1>D246</formula1>
    </dataValidation>
    <dataValidation type="whole" operator="lessThanOrEqual" allowBlank="1" showErrorMessage="1" errorTitle="Mensagem de Erro" error="F não pode ser Superior a MF" sqref="E247">
      <formula1>D247</formula1>
    </dataValidation>
    <dataValidation type="whole" operator="lessThanOrEqual" allowBlank="1" showErrorMessage="1" errorTitle="Mensagem de Erro" error="F não pode ser Superior a MF" sqref="E248">
      <formula1>D248</formula1>
    </dataValidation>
    <dataValidation type="whole" operator="lessThanOrEqual" allowBlank="1" showErrorMessage="1" errorTitle="Mensagem de Erro" error="F não pode ser Superior a MF" sqref="E249">
      <formula1>D249</formula1>
    </dataValidation>
    <dataValidation type="whole" operator="lessThanOrEqual" allowBlank="1" showErrorMessage="1" errorTitle="Mensagem de Erro" error="F não pode ser Superior a MF" sqref="E25">
      <formula1>D25</formula1>
    </dataValidation>
    <dataValidation type="whole" operator="lessThanOrEqual" allowBlank="1" showErrorMessage="1" errorTitle="Mensagem de Erro" error="F não pode ser Superior a MF" sqref="E250">
      <formula1>D250</formula1>
    </dataValidation>
    <dataValidation type="whole" operator="lessThanOrEqual" allowBlank="1" showErrorMessage="1" errorTitle="Mensagem de Erro" error="F não pode ser Superior a MF" sqref="E251">
      <formula1>D251</formula1>
    </dataValidation>
    <dataValidation type="whole" operator="lessThanOrEqual" allowBlank="1" showErrorMessage="1" errorTitle="Mensagem de Erro" error="F não pode ser Superior a MF" sqref="E252">
      <formula1>D252</formula1>
    </dataValidation>
    <dataValidation type="whole" operator="lessThanOrEqual" allowBlank="1" showErrorMessage="1" errorTitle="Mensagem de Erro" error="F não pode ser Superior a MF" sqref="E253">
      <formula1>D253</formula1>
    </dataValidation>
    <dataValidation type="whole" operator="lessThanOrEqual" allowBlank="1" showErrorMessage="1" errorTitle="Mensagem de Erro" error="F não pode ser Superior a MF" sqref="E254">
      <formula1>D254</formula1>
    </dataValidation>
    <dataValidation type="whole" operator="lessThanOrEqual" allowBlank="1" showErrorMessage="1" errorTitle="Mensagem de Erro" error="F não pode ser Superior a MF" sqref="E255">
      <formula1>D255</formula1>
    </dataValidation>
    <dataValidation type="whole" operator="lessThanOrEqual" allowBlank="1" showErrorMessage="1" errorTitle="Mensagem de Erro" error="F não pode ser Superior a MF" sqref="E256">
      <formula1>D256</formula1>
    </dataValidation>
    <dataValidation type="whole" operator="lessThanOrEqual" allowBlank="1" showErrorMessage="1" errorTitle="Mensagem de Erro" error="F não pode ser Superior a MF" sqref="E257">
      <formula1>D257</formula1>
    </dataValidation>
    <dataValidation type="whole" operator="lessThanOrEqual" allowBlank="1" showErrorMessage="1" errorTitle="Mensagem de Erro" error="F não pode ser Superior a MF" sqref="E258">
      <formula1>D258</formula1>
    </dataValidation>
    <dataValidation type="whole" operator="lessThanOrEqual" allowBlank="1" showErrorMessage="1" errorTitle="Mensagem de Erro" error="F não pode ser Superior a MF" sqref="E259">
      <formula1>D259</formula1>
    </dataValidation>
    <dataValidation type="whole" operator="lessThanOrEqual" allowBlank="1" showErrorMessage="1" errorTitle="Mensagem de Erro" error="F não pode ser Superior a MF" sqref="E26">
      <formula1>D26</formula1>
    </dataValidation>
    <dataValidation type="whole" operator="lessThanOrEqual" allowBlank="1" showErrorMessage="1" errorTitle="Mensagem de Erro" error="F não pode ser Superior a MF" sqref="E260">
      <formula1>D260</formula1>
    </dataValidation>
    <dataValidation type="whole" operator="lessThanOrEqual" allowBlank="1" showErrorMessage="1" errorTitle="Mensagem de Erro" error="F não pode ser Superior a MF" sqref="E261">
      <formula1>D261</formula1>
    </dataValidation>
    <dataValidation type="whole" operator="lessThanOrEqual" allowBlank="1" showErrorMessage="1" errorTitle="Mensagem de Erro" error="F não pode ser Superior a MF" sqref="E262">
      <formula1>D262</formula1>
    </dataValidation>
    <dataValidation type="whole" operator="lessThanOrEqual" allowBlank="1" showErrorMessage="1" errorTitle="Mensagem de Erro" error="F não pode ser Superior a MF" sqref="E263">
      <formula1>D263</formula1>
    </dataValidation>
    <dataValidation type="whole" operator="lessThanOrEqual" allowBlank="1" showErrorMessage="1" errorTitle="Mensagem de Erro" error="F não pode ser Superior a MF" sqref="E264">
      <formula1>D264</formula1>
    </dataValidation>
    <dataValidation type="whole" operator="lessThanOrEqual" allowBlank="1" showErrorMessage="1" errorTitle="Mensagem de Erro" error="F não pode ser Superior a MF" sqref="E265">
      <formula1>D265</formula1>
    </dataValidation>
    <dataValidation type="whole" operator="lessThanOrEqual" allowBlank="1" showErrorMessage="1" errorTitle="Mensagem de Erro" error="F não pode ser Superior a MF" sqref="E266">
      <formula1>D266</formula1>
    </dataValidation>
    <dataValidation type="whole" operator="lessThanOrEqual" allowBlank="1" showErrorMessage="1" errorTitle="Mensagem de Erro" error="F não pode ser Superior a MF" sqref="E267">
      <formula1>D267</formula1>
    </dataValidation>
    <dataValidation type="whole" operator="lessThanOrEqual" allowBlank="1" showErrorMessage="1" errorTitle="Mensagem de Erro" error="F não pode ser Superior a MF" sqref="E268">
      <formula1>D268</formula1>
    </dataValidation>
    <dataValidation type="whole" operator="lessThanOrEqual" allowBlank="1" showErrorMessage="1" errorTitle="Mensagem de Erro" error="F não pode ser Superior a MF" sqref="E269">
      <formula1>D269</formula1>
    </dataValidation>
    <dataValidation type="whole" operator="lessThanOrEqual" allowBlank="1" showErrorMessage="1" errorTitle="Mensagem de Erro" error="F não pode ser Superior a MF" sqref="E27">
      <formula1>D27</formula1>
    </dataValidation>
    <dataValidation type="whole" operator="lessThanOrEqual" allowBlank="1" showErrorMessage="1" errorTitle="Mensagem de Erro" error="F não pode ser Superior a MF" sqref="E270">
      <formula1>D270</formula1>
    </dataValidation>
    <dataValidation type="whole" operator="lessThanOrEqual" allowBlank="1" showErrorMessage="1" errorTitle="Mensagem de Erro" error="F não pode ser Superior a MF" sqref="E271">
      <formula1>D271</formula1>
    </dataValidation>
    <dataValidation type="whole" operator="lessThanOrEqual" allowBlank="1" showErrorMessage="1" errorTitle="Mensagem de Erro" error="F não pode ser Superior a MF" sqref="E272">
      <formula1>D272</formula1>
    </dataValidation>
    <dataValidation type="whole" operator="lessThanOrEqual" allowBlank="1" showErrorMessage="1" errorTitle="Mensagem de Erro" error="F não pode ser Superior a MF" sqref="E273">
      <formula1>D273</formula1>
    </dataValidation>
    <dataValidation type="whole" operator="lessThanOrEqual" allowBlank="1" showErrorMessage="1" errorTitle="Mensagem de Erro" error="F não pode ser Superior a MF" sqref="E274">
      <formula1>D274</formula1>
    </dataValidation>
    <dataValidation type="whole" operator="lessThanOrEqual" allowBlank="1" showErrorMessage="1" errorTitle="Mensagem de Erro" error="F não pode ser Superior a MF" sqref="E277">
      <formula1>D277</formula1>
    </dataValidation>
    <dataValidation type="whole" operator="lessThanOrEqual" allowBlank="1" showErrorMessage="1" errorTitle="Mensagem de Erro" error="F não pode ser Superior a MF" sqref="E278">
      <formula1>D278</formula1>
    </dataValidation>
    <dataValidation type="whole" operator="lessThanOrEqual" allowBlank="1" showErrorMessage="1" errorTitle="Mensagem de Erro" error="F não pode ser Superior a MF" sqref="E279">
      <formula1>D279</formula1>
    </dataValidation>
    <dataValidation type="whole" operator="lessThanOrEqual" allowBlank="1" showErrorMessage="1" errorTitle="Mensagem de Erro" error="F não pode ser Superior a MF" sqref="E28">
      <formula1>D28</formula1>
    </dataValidation>
    <dataValidation type="whole" operator="lessThanOrEqual" allowBlank="1" showErrorMessage="1" errorTitle="Mensagem de Erro" error="F não pode ser Superior a MF" sqref="E280">
      <formula1>D280</formula1>
    </dataValidation>
    <dataValidation type="whole" operator="lessThanOrEqual" allowBlank="1" showErrorMessage="1" errorTitle="Mensagem de Erro" error="F não pode ser Superior a MF" sqref="E281">
      <formula1>D281</formula1>
    </dataValidation>
    <dataValidation type="whole" operator="lessThanOrEqual" allowBlank="1" showErrorMessage="1" errorTitle="Mensagem de Erro" error="F não pode ser Superior a MF" sqref="E282">
      <formula1>D282</formula1>
    </dataValidation>
    <dataValidation type="whole" operator="lessThanOrEqual" allowBlank="1" showErrorMessage="1" errorTitle="Mensagem de Erro" error="F não pode ser Superior a MF" sqref="E283">
      <formula1>D283</formula1>
    </dataValidation>
    <dataValidation type="whole" operator="lessThanOrEqual" allowBlank="1" showErrorMessage="1" errorTitle="Mensagem de Erro" error="F não pode ser Superior a MF" sqref="E284">
      <formula1>D284</formula1>
    </dataValidation>
    <dataValidation type="whole" operator="lessThanOrEqual" allowBlank="1" showErrorMessage="1" errorTitle="Mensagem de Erro" error="F não pode ser Superior a MF" sqref="E285">
      <formula1>D285</formula1>
    </dataValidation>
    <dataValidation type="whole" operator="lessThanOrEqual" allowBlank="1" showErrorMessage="1" errorTitle="Mensagem de Erro" error="F não pode ser Superior a MF" sqref="E286">
      <formula1>D286</formula1>
    </dataValidation>
    <dataValidation type="whole" operator="lessThanOrEqual" allowBlank="1" showErrorMessage="1" errorTitle="Mensagem de Erro" error="F não pode ser Superior a MF" sqref="E287">
      <formula1>D287</formula1>
    </dataValidation>
    <dataValidation type="whole" operator="lessThanOrEqual" allowBlank="1" showErrorMessage="1" errorTitle="Mensagem de Erro" error="F não pode ser Superior a MF" sqref="E288">
      <formula1>D288</formula1>
    </dataValidation>
    <dataValidation type="whole" operator="lessThanOrEqual" allowBlank="1" showErrorMessage="1" errorTitle="Mensagem de Erro" error="F não pode ser Superior a MF" sqref="E289">
      <formula1>D289</formula1>
    </dataValidation>
    <dataValidation type="whole" operator="lessThanOrEqual" allowBlank="1" showErrorMessage="1" errorTitle="Mensagem de Erro" error="F não pode ser Superior a MF" sqref="E29">
      <formula1>D29</formula1>
    </dataValidation>
    <dataValidation type="whole" operator="lessThanOrEqual" allowBlank="1" showErrorMessage="1" errorTitle="Mensagem de Erro" error="F não pode ser Superior a MF" sqref="E290">
      <formula1>D290</formula1>
    </dataValidation>
    <dataValidation type="whole" operator="lessThanOrEqual" allowBlank="1" showErrorMessage="1" errorTitle="Mensagem de Erro" error="F não pode ser Superior a MF" sqref="E291">
      <formula1>D291</formula1>
    </dataValidation>
    <dataValidation type="whole" operator="lessThanOrEqual" allowBlank="1" showErrorMessage="1" errorTitle="Mensagem de Erro" error="F não pode ser Superior a MF" sqref="E292">
      <formula1>D292</formula1>
    </dataValidation>
    <dataValidation type="whole" operator="lessThanOrEqual" allowBlank="1" showErrorMessage="1" errorTitle="Mensagem de Erro" error="F não pode ser Superior a MF" sqref="E293">
      <formula1>D293</formula1>
    </dataValidation>
    <dataValidation type="whole" operator="lessThanOrEqual" allowBlank="1" showErrorMessage="1" errorTitle="Mensagem de Erro" error="F não pode ser Superior a MF" sqref="E294">
      <formula1>D294</formula1>
    </dataValidation>
    <dataValidation type="whole" operator="lessThanOrEqual" allowBlank="1" showErrorMessage="1" errorTitle="Mensagem de Erro" error="F não pode ser Superior a MF" sqref="E295">
      <formula1>D295</formula1>
    </dataValidation>
    <dataValidation type="whole" operator="lessThanOrEqual" allowBlank="1" showErrorMessage="1" errorTitle="Mensagem de Erro" error="F não pode ser Superior a MF" sqref="E296">
      <formula1>D296</formula1>
    </dataValidation>
    <dataValidation type="whole" operator="lessThanOrEqual" allowBlank="1" showErrorMessage="1" errorTitle="Mensagem de Erro" error="F não pode ser Superior a MF" sqref="E297">
      <formula1>D297</formula1>
    </dataValidation>
    <dataValidation type="whole" operator="lessThanOrEqual" allowBlank="1" showErrorMessage="1" errorTitle="Mensagem de Erro" error="F não pode ser Superior a MF" sqref="E298">
      <formula1>D298</formula1>
    </dataValidation>
    <dataValidation type="whole" operator="lessThanOrEqual" allowBlank="1" showErrorMessage="1" errorTitle="Mensagem de Erro" error="F não pode ser Superior a MF" sqref="E299">
      <formula1>D299</formula1>
    </dataValidation>
    <dataValidation type="whole" operator="lessThanOrEqual" allowBlank="1" showErrorMessage="1" errorTitle="Mensagem de Erro" error="F não pode ser Superior a MF" sqref="E30">
      <formula1>D30</formula1>
    </dataValidation>
    <dataValidation type="whole" operator="lessThanOrEqual" allowBlank="1" showErrorMessage="1" errorTitle="Mensagem de Erro" error="F não pode ser Superior a MF" sqref="E300">
      <formula1>D300</formula1>
    </dataValidation>
    <dataValidation type="whole" operator="lessThanOrEqual" allowBlank="1" showErrorMessage="1" errorTitle="Mensagem de Erro" error="F não pode ser Superior a MF" sqref="E301">
      <formula1>D301</formula1>
    </dataValidation>
    <dataValidation type="whole" operator="lessThanOrEqual" allowBlank="1" showErrorMessage="1" errorTitle="Mensagem de Erro" error="F não pode ser Superior a MF" sqref="E302">
      <formula1>D302</formula1>
    </dataValidation>
    <dataValidation type="whole" operator="lessThanOrEqual" allowBlank="1" showErrorMessage="1" errorTitle="Mensagem de Erro" error="F não pode ser Superior a MF" sqref="E303">
      <formula1>D303</formula1>
    </dataValidation>
    <dataValidation type="whole" operator="lessThanOrEqual" allowBlank="1" showErrorMessage="1" errorTitle="Mensagem de Erro" error="F não pode ser Superior a MF" sqref="E304">
      <formula1>D304</formula1>
    </dataValidation>
    <dataValidation type="whole" operator="lessThanOrEqual" allowBlank="1" showErrorMessage="1" errorTitle="Mensagem de Erro" error="F não pode ser Superior a MF" sqref="E305">
      <formula1>D305</formula1>
    </dataValidation>
    <dataValidation type="whole" operator="lessThanOrEqual" allowBlank="1" showErrorMessage="1" errorTitle="Mensagem de Erro" error="F não pode ser Superior a MF" sqref="E306">
      <formula1>D306</formula1>
    </dataValidation>
    <dataValidation type="whole" operator="lessThanOrEqual" allowBlank="1" showErrorMessage="1" errorTitle="Mensagem de Erro" error="F não pode ser Superior a MF" sqref="E307">
      <formula1>D307</formula1>
    </dataValidation>
    <dataValidation type="whole" operator="lessThanOrEqual" allowBlank="1" showErrorMessage="1" errorTitle="Mensagem de Erro" error="F não pode ser Superior a MF" sqref="E308">
      <formula1>D308</formula1>
    </dataValidation>
    <dataValidation type="whole" operator="lessThanOrEqual" allowBlank="1" showErrorMessage="1" errorTitle="Mensagem de Erro" error="F não pode ser Superior a MF" sqref="E309">
      <formula1>D309</formula1>
    </dataValidation>
    <dataValidation type="whole" operator="lessThanOrEqual" allowBlank="1" showErrorMessage="1" errorTitle="Mensagem de Erro" error="F não pode ser Superior a MF" sqref="E31">
      <formula1>D31</formula1>
    </dataValidation>
    <dataValidation type="whole" operator="lessThanOrEqual" allowBlank="1" showErrorMessage="1" errorTitle="Mensagem de Erro" error="F não pode ser Superior a MF" sqref="E310">
      <formula1>D310</formula1>
    </dataValidation>
    <dataValidation type="whole" operator="lessThanOrEqual" allowBlank="1" showErrorMessage="1" errorTitle="Mensagem de Erro" error="F não pode ser Superior a MF" sqref="E311">
      <formula1>D311</formula1>
    </dataValidation>
    <dataValidation type="whole" operator="lessThanOrEqual" allowBlank="1" showErrorMessage="1" errorTitle="Mensagem de Erro" error="F não pode ser Superior a MF" sqref="E312">
      <formula1>D312</formula1>
    </dataValidation>
    <dataValidation type="whole" operator="lessThanOrEqual" allowBlank="1" showErrorMessage="1" errorTitle="Mensagem de Erro" error="F não pode ser Superior a MF" sqref="E313">
      <formula1>D313</formula1>
    </dataValidation>
    <dataValidation type="whole" operator="lessThanOrEqual" allowBlank="1" showErrorMessage="1" errorTitle="Mensagem de Erro" error="F não pode ser Superior a MF" sqref="E314">
      <formula1>D314</formula1>
    </dataValidation>
    <dataValidation type="whole" operator="lessThanOrEqual" allowBlank="1" showErrorMessage="1" errorTitle="Mensagem de Erro" error="F não pode ser Superior a MF" sqref="E315">
      <formula1>D315</formula1>
    </dataValidation>
    <dataValidation type="whole" operator="lessThanOrEqual" allowBlank="1" showErrorMessage="1" errorTitle="Mensagem de Erro" error="F não pode ser Superior a MF" sqref="E316">
      <formula1>D316</formula1>
    </dataValidation>
    <dataValidation type="whole" operator="lessThanOrEqual" allowBlank="1" showErrorMessage="1" errorTitle="Mensagem de Erro" error="F não pode ser Superior a MF" sqref="E317">
      <formula1>D317</formula1>
    </dataValidation>
    <dataValidation type="whole" operator="lessThanOrEqual" allowBlank="1" showErrorMessage="1" errorTitle="Mensagem de Erro" error="F não pode ser Superior a MF" sqref="E318">
      <formula1>D318</formula1>
    </dataValidation>
    <dataValidation type="whole" operator="lessThanOrEqual" allowBlank="1" showErrorMessage="1" errorTitle="Mensagem de Erro" error="F não pode ser Superior a MF" sqref="E319">
      <formula1>D319</formula1>
    </dataValidation>
    <dataValidation type="whole" operator="lessThanOrEqual" allowBlank="1" showErrorMessage="1" errorTitle="Mensagem de Erro" error="F não pode ser Superior a MF" sqref="E32">
      <formula1>D32</formula1>
    </dataValidation>
    <dataValidation type="whole" operator="lessThanOrEqual" allowBlank="1" showErrorMessage="1" errorTitle="Mensagem de Erro" error="F não pode ser Superior a MF" sqref="E320">
      <formula1>D320</formula1>
    </dataValidation>
    <dataValidation type="whole" operator="lessThanOrEqual" allowBlank="1" showErrorMessage="1" errorTitle="Mensagem de Erro" error="F não pode ser Superior a MF" sqref="E321">
      <formula1>D321</formula1>
    </dataValidation>
    <dataValidation type="whole" operator="lessThanOrEqual" allowBlank="1" showErrorMessage="1" errorTitle="Mensagem de Erro" error="F não pode ser Superior a MF" sqref="E322">
      <formula1>D322</formula1>
    </dataValidation>
    <dataValidation type="whole" operator="lessThanOrEqual" allowBlank="1" showErrorMessage="1" errorTitle="Mensagem de Erro" error="F não pode ser Superior a MF" sqref="E323">
      <formula1>D323</formula1>
    </dataValidation>
    <dataValidation type="whole" operator="lessThanOrEqual" allowBlank="1" showErrorMessage="1" errorTitle="Mensagem de Erro" error="F não pode ser Superior a MF" sqref="E324">
      <formula1>D324</formula1>
    </dataValidation>
    <dataValidation type="whole" operator="lessThanOrEqual" allowBlank="1" showErrorMessage="1" errorTitle="Mensagem de Erro" error="F não pode ser Superior a MF" sqref="E325">
      <formula1>D325</formula1>
    </dataValidation>
    <dataValidation type="whole" operator="lessThanOrEqual" allowBlank="1" showErrorMessage="1" errorTitle="Mensagem de Erro" error="F não pode ser Superior a MF" sqref="E326">
      <formula1>D326</formula1>
    </dataValidation>
    <dataValidation type="whole" operator="lessThanOrEqual" allowBlank="1" showErrorMessage="1" errorTitle="Mensagem de Erro" error="F não pode ser Superior a MF" sqref="E329">
      <formula1>D329</formula1>
    </dataValidation>
    <dataValidation type="whole" operator="lessThanOrEqual" allowBlank="1" showErrorMessage="1" errorTitle="Mensagem de Erro" error="F não pode ser Superior a MF" sqref="E33">
      <formula1>D33</formula1>
    </dataValidation>
    <dataValidation type="whole" operator="lessThanOrEqual" allowBlank="1" showErrorMessage="1" errorTitle="Mensagem de Erro" error="F não pode ser Superior a MF" sqref="E330">
      <formula1>D330</formula1>
    </dataValidation>
    <dataValidation type="whole" operator="lessThanOrEqual" allowBlank="1" showErrorMessage="1" errorTitle="Mensagem de Erro" error="F não pode ser Superior a MF" sqref="E331">
      <formula1>D331</formula1>
    </dataValidation>
    <dataValidation type="whole" operator="lessThanOrEqual" allowBlank="1" showErrorMessage="1" errorTitle="Mensagem de Erro" error="F não pode ser Superior a MF" sqref="E332">
      <formula1>D332</formula1>
    </dataValidation>
    <dataValidation type="whole" operator="lessThanOrEqual" allowBlank="1" showErrorMessage="1" errorTitle="Mensagem de Erro" error="F não pode ser Superior a MF" sqref="E333">
      <formula1>D333</formula1>
    </dataValidation>
    <dataValidation type="whole" operator="lessThanOrEqual" allowBlank="1" showErrorMessage="1" errorTitle="Mensagem de Erro" error="F não pode ser Superior a MF" sqref="E334">
      <formula1>D334</formula1>
    </dataValidation>
    <dataValidation type="whole" operator="lessThanOrEqual" allowBlank="1" showErrorMessage="1" errorTitle="Mensagem de Erro" error="F não pode ser Superior a MF" sqref="E335">
      <formula1>D335</formula1>
    </dataValidation>
    <dataValidation type="whole" operator="lessThanOrEqual" allowBlank="1" showErrorMessage="1" errorTitle="Mensagem de Erro" error="F não pode ser Superior a MF" sqref="E336">
      <formula1>D336</formula1>
    </dataValidation>
    <dataValidation type="whole" operator="lessThanOrEqual" allowBlank="1" showErrorMessage="1" errorTitle="Mensagem de Erro" error="F não pode ser Superior a MF" sqref="E337">
      <formula1>D337</formula1>
    </dataValidation>
    <dataValidation type="whole" operator="lessThanOrEqual" allowBlank="1" showErrorMessage="1" errorTitle="Mensagem de Erro" error="F não pode ser Superior a MF" sqref="E338">
      <formula1>D338</formula1>
    </dataValidation>
    <dataValidation type="whole" operator="lessThanOrEqual" allowBlank="1" showErrorMessage="1" errorTitle="Mensagem de Erro" error="F não pode ser Superior a MF" sqref="E339">
      <formula1>D339</formula1>
    </dataValidation>
    <dataValidation type="whole" operator="lessThanOrEqual" allowBlank="1" showErrorMessage="1" errorTitle="Mensagem de Erro" error="F não pode ser Superior a MF" sqref="E34">
      <formula1>D34</formula1>
    </dataValidation>
    <dataValidation type="whole" operator="lessThanOrEqual" allowBlank="1" showErrorMessage="1" errorTitle="Mensagem de Erro" error="F não pode ser Superior a MF" sqref="E340">
      <formula1>D340</formula1>
    </dataValidation>
    <dataValidation type="whole" operator="lessThanOrEqual" allowBlank="1" showErrorMessage="1" errorTitle="Mensagem de Erro" error="F não pode ser Superior a MF" sqref="E341">
      <formula1>D341</formula1>
    </dataValidation>
    <dataValidation type="whole" operator="lessThanOrEqual" allowBlank="1" showErrorMessage="1" errorTitle="Mensagem de Erro" error="F não pode ser Superior a MF" sqref="E342">
      <formula1>D342</formula1>
    </dataValidation>
    <dataValidation type="whole" operator="lessThanOrEqual" allowBlank="1" showErrorMessage="1" errorTitle="Mensagem de Erro" error="F não pode ser Superior a MF" sqref="E343">
      <formula1>D343</formula1>
    </dataValidation>
    <dataValidation type="whole" operator="lessThanOrEqual" allowBlank="1" showErrorMessage="1" errorTitle="Mensagem de Erro" error="F não pode ser Superior a MF" sqref="E344">
      <formula1>D344</formula1>
    </dataValidation>
    <dataValidation type="whole" operator="lessThanOrEqual" allowBlank="1" showErrorMessage="1" errorTitle="Mensagem de Erro" error="F não pode ser Superior a MF" sqref="E345">
      <formula1>D345</formula1>
    </dataValidation>
    <dataValidation type="whole" operator="lessThanOrEqual" allowBlank="1" showErrorMessage="1" errorTitle="Mensagem de Erro" error="F não pode ser Superior a MF" sqref="E346">
      <formula1>D346</formula1>
    </dataValidation>
    <dataValidation type="whole" operator="lessThanOrEqual" allowBlank="1" showErrorMessage="1" errorTitle="Mensagem de Erro" error="F não pode ser Superior a MF" sqref="E347">
      <formula1>D347</formula1>
    </dataValidation>
    <dataValidation type="whole" operator="lessThanOrEqual" allowBlank="1" showErrorMessage="1" errorTitle="Mensagem de Erro" error="F não pode ser Superior a MF" sqref="E348">
      <formula1>D348</formula1>
    </dataValidation>
    <dataValidation type="whole" operator="lessThanOrEqual" allowBlank="1" showErrorMessage="1" errorTitle="Mensagem de Erro" error="F não pode ser Superior a MF" sqref="E349">
      <formula1>D349</formula1>
    </dataValidation>
    <dataValidation type="whole" operator="lessThanOrEqual" allowBlank="1" showErrorMessage="1" errorTitle="Mensagem de Erro" error="F não pode ser Superior a MF" sqref="E35">
      <formula1>D35</formula1>
    </dataValidation>
    <dataValidation type="whole" operator="lessThanOrEqual" allowBlank="1" showErrorMessage="1" errorTitle="Mensagem de Erro" error="F não pode ser Superior a MF" sqref="E350">
      <formula1>D350</formula1>
    </dataValidation>
    <dataValidation type="whole" operator="lessThanOrEqual" allowBlank="1" showErrorMessage="1" errorTitle="Mensagem de Erro" error="F não pode ser Superior a MF" sqref="E353">
      <formula1>D353</formula1>
    </dataValidation>
    <dataValidation type="whole" operator="lessThanOrEqual" allowBlank="1" showErrorMessage="1" errorTitle="Mensagem de Erro" error="F não pode ser Superior a MF" sqref="E354">
      <formula1>D354</formula1>
    </dataValidation>
    <dataValidation type="whole" operator="lessThanOrEqual" allowBlank="1" showErrorMessage="1" errorTitle="Mensagem de Erro" error="F não pode ser Superior a MF" sqref="E355">
      <formula1>D355</formula1>
    </dataValidation>
    <dataValidation type="whole" operator="lessThanOrEqual" allowBlank="1" showErrorMessage="1" errorTitle="Mensagem de Erro" error="F não pode ser Superior a MF" sqref="E356">
      <formula1>D356</formula1>
    </dataValidation>
    <dataValidation type="whole" operator="lessThanOrEqual" allowBlank="1" showErrorMessage="1" errorTitle="Mensagem de Erro" error="F não pode ser Superior a MF" sqref="E357">
      <formula1>D357</formula1>
    </dataValidation>
    <dataValidation type="whole" operator="lessThanOrEqual" allowBlank="1" showErrorMessage="1" errorTitle="Mensagem de Erro" error="F não pode ser Superior a MF" sqref="E358">
      <formula1>D358</formula1>
    </dataValidation>
    <dataValidation type="whole" operator="lessThanOrEqual" allowBlank="1" showErrorMessage="1" errorTitle="Mensagem de Erro" error="F não pode ser Superior a MF" sqref="E359">
      <formula1>D359</formula1>
    </dataValidation>
    <dataValidation type="whole" operator="lessThanOrEqual" allowBlank="1" showErrorMessage="1" errorTitle="Mensagem de Erro" error="F não pode ser Superior a MF" sqref="E36">
      <formula1>D36</formula1>
    </dataValidation>
    <dataValidation type="whole" operator="lessThanOrEqual" allowBlank="1" showErrorMessage="1" errorTitle="Mensagem de Erro" error="F não pode ser Superior a MF" sqref="E360">
      <formula1>D360</formula1>
    </dataValidation>
    <dataValidation type="whole" operator="lessThanOrEqual" allowBlank="1" showErrorMessage="1" errorTitle="Mensagem de Erro" error="F não pode ser Superior a MF" sqref="E361">
      <formula1>D361</formula1>
    </dataValidation>
    <dataValidation type="whole" operator="lessThanOrEqual" allowBlank="1" showErrorMessage="1" errorTitle="Mensagem de Erro" error="F não pode ser Superior a MF" sqref="E362">
      <formula1>D362</formula1>
    </dataValidation>
    <dataValidation type="whole" operator="lessThanOrEqual" allowBlank="1" showErrorMessage="1" errorTitle="Mensagem de Erro" error="F não pode ser Superior a MF" sqref="E363">
      <formula1>D363</formula1>
    </dataValidation>
    <dataValidation type="whole" operator="lessThanOrEqual" allowBlank="1" showErrorMessage="1" errorTitle="Mensagem de Erro" error="F não pode ser Superior a MF" sqref="E364">
      <formula1>D364</formula1>
    </dataValidation>
    <dataValidation type="whole" operator="lessThanOrEqual" allowBlank="1" showErrorMessage="1" errorTitle="Mensagem de Erro" error="F não pode ser Superior a MF" sqref="E365">
      <formula1>D365</formula1>
    </dataValidation>
    <dataValidation type="whole" operator="lessThanOrEqual" allowBlank="1" showErrorMessage="1" errorTitle="Mensagem de Erro" error="F não pode ser Superior a MF" sqref="E366">
      <formula1>D366</formula1>
    </dataValidation>
    <dataValidation type="whole" operator="lessThanOrEqual" allowBlank="1" showErrorMessage="1" errorTitle="Mensagem de Erro" error="F não pode ser Superior a MF" sqref="E367">
      <formula1>D367</formula1>
    </dataValidation>
    <dataValidation type="whole" operator="lessThanOrEqual" allowBlank="1" showErrorMessage="1" errorTitle="Mensagem de Erro" error="F não pode ser Superior a MF" sqref="E368">
      <formula1>D368</formula1>
    </dataValidation>
    <dataValidation type="whole" operator="lessThanOrEqual" allowBlank="1" showErrorMessage="1" errorTitle="Mensagem de Erro" error="F não pode ser Superior a MF" sqref="E369">
      <formula1>D369</formula1>
    </dataValidation>
    <dataValidation type="whole" operator="lessThanOrEqual" allowBlank="1" showErrorMessage="1" errorTitle="Mensagem de Erro" error="F não pode ser Superior a MF" sqref="E37">
      <formula1>D37</formula1>
    </dataValidation>
    <dataValidation type="whole" operator="lessThanOrEqual" allowBlank="1" showErrorMessage="1" errorTitle="Mensagem de Erro" error="F não pode ser Superior a MF" sqref="E370">
      <formula1>D370</formula1>
    </dataValidation>
    <dataValidation type="whole" operator="lessThanOrEqual" allowBlank="1" showErrorMessage="1" errorTitle="Mensagem de Erro" error="F não pode ser Superior a MF" sqref="E38">
      <formula1>D38</formula1>
    </dataValidation>
    <dataValidation type="whole" operator="lessThanOrEqual" allowBlank="1" showErrorMessage="1" errorTitle="Mensagem de Erro" error="F não pode ser Superior a MF" sqref="E39">
      <formula1>D39</formula1>
    </dataValidation>
    <dataValidation type="whole" operator="lessThanOrEqual" allowBlank="1" showErrorMessage="1" errorTitle="Mensagem de Erro" error="F não pode ser Superior a MF" sqref="E40">
      <formula1>D40</formula1>
    </dataValidation>
    <dataValidation type="whole" operator="lessThanOrEqual" allowBlank="1" showErrorMessage="1" errorTitle="Mensagem de Erro" error="F não pode ser Superior a MF" sqref="E41">
      <formula1>D41</formula1>
    </dataValidation>
    <dataValidation type="whole" operator="lessThanOrEqual" allowBlank="1" showErrorMessage="1" errorTitle="Mensagem de Erro" error="F não pode ser Superior a MF" sqref="E42">
      <formula1>D42</formula1>
    </dataValidation>
    <dataValidation type="whole" operator="lessThanOrEqual" allowBlank="1" showErrorMessage="1" errorTitle="Mensagem de Erro" error="F não pode ser Superior a MF" sqref="E43">
      <formula1>D43</formula1>
    </dataValidation>
    <dataValidation type="whole" operator="lessThanOrEqual" allowBlank="1" showErrorMessage="1" errorTitle="Mensagem de Erro" error="F não pode ser Superior a MF" sqref="E44">
      <formula1>D44</formula1>
    </dataValidation>
    <dataValidation type="whole" operator="lessThanOrEqual" allowBlank="1" showErrorMessage="1" errorTitle="Mensagem de Erro" error="F não pode ser Superior a MF" sqref="E45">
      <formula1>D45</formula1>
    </dataValidation>
    <dataValidation type="whole" operator="lessThanOrEqual" allowBlank="1" showErrorMessage="1" errorTitle="Mensagem de Erro" error="F não pode ser Superior a MF" sqref="E46">
      <formula1>D46</formula1>
    </dataValidation>
    <dataValidation type="whole" operator="lessThanOrEqual" allowBlank="1" showErrorMessage="1" errorTitle="Mensagem de Erro" error="F não pode ser Superior a MF" sqref="E47">
      <formula1>D47</formula1>
    </dataValidation>
    <dataValidation type="whole" operator="lessThanOrEqual" allowBlank="1" showErrorMessage="1" errorTitle="Mensagem de Erro" error="F não pode ser Superior a MF" sqref="E48">
      <formula1>D48</formula1>
    </dataValidation>
    <dataValidation type="whole" operator="lessThanOrEqual" allowBlank="1" showErrorMessage="1" errorTitle="Mensagem de Erro" error="F não pode ser Superior a MF" sqref="E49">
      <formula1>D49</formula1>
    </dataValidation>
    <dataValidation type="whole" operator="lessThanOrEqual" allowBlank="1" showErrorMessage="1" errorTitle="Mensagem de Erro" error="F não pode ser Superior a MF" sqref="E50">
      <formula1>D50</formula1>
    </dataValidation>
    <dataValidation type="whole" operator="lessThanOrEqual" allowBlank="1" showErrorMessage="1" errorTitle="Mensagem de Erro" error="F não pode ser Superior a MF" sqref="E51">
      <formula1>D51</formula1>
    </dataValidation>
    <dataValidation type="whole" operator="lessThanOrEqual" allowBlank="1" showErrorMessage="1" errorTitle="Mensagem de Erro" error="F não pode ser Superior a MF" sqref="E52">
      <formula1>D52</formula1>
    </dataValidation>
    <dataValidation type="whole" operator="lessThanOrEqual" allowBlank="1" showErrorMessage="1" errorTitle="Mensagem de Erro" error="F não pode ser Superior a MF" sqref="E53">
      <formula1>D53</formula1>
    </dataValidation>
    <dataValidation type="whole" operator="lessThanOrEqual" allowBlank="1" showErrorMessage="1" errorTitle="Mensagem de Erro" error="F não pode ser Superior a MF" sqref="E54">
      <formula1>D54</formula1>
    </dataValidation>
    <dataValidation type="whole" operator="lessThanOrEqual" allowBlank="1" showErrorMessage="1" errorTitle="Mensagem de Erro" error="F não pode ser Superior a MF" sqref="E55">
      <formula1>D55</formula1>
    </dataValidation>
    <dataValidation type="whole" operator="lessThanOrEqual" allowBlank="1" showErrorMessage="1" errorTitle="Mensagem de Erro" error="F não pode ser Superior a MF" sqref="E56">
      <formula1>D56</formula1>
    </dataValidation>
    <dataValidation type="whole" operator="lessThanOrEqual" allowBlank="1" showErrorMessage="1" errorTitle="Mensagem de Erro" error="F não pode ser Superior a MF" sqref="E57">
      <formula1>D57</formula1>
    </dataValidation>
    <dataValidation type="whole" operator="lessThanOrEqual" allowBlank="1" showErrorMessage="1" errorTitle="Mensagem de Erro" error="F não pode ser Superior a MF" sqref="E58">
      <formula1>D58</formula1>
    </dataValidation>
    <dataValidation type="whole" operator="lessThanOrEqual" allowBlank="1" showErrorMessage="1" errorTitle="Mensagem de Erro" error="F não pode ser Superior a MF" sqref="E59">
      <formula1>D59</formula1>
    </dataValidation>
    <dataValidation type="whole" operator="lessThanOrEqual" allowBlank="1" showErrorMessage="1" errorTitle="Mensagem de Erro" error="F não pode ser Superior a MF" sqref="E60">
      <formula1>D60</formula1>
    </dataValidation>
    <dataValidation type="whole" operator="lessThanOrEqual" allowBlank="1" showErrorMessage="1" errorTitle="Mensagem de Erro" error="F não pode ser Superior a MF" sqref="E61">
      <formula1>D61</formula1>
    </dataValidation>
    <dataValidation type="whole" operator="lessThanOrEqual" allowBlank="1" showErrorMessage="1" errorTitle="Mensagem de Erro" error="F não pode ser Superior a MF" sqref="E62">
      <formula1>D62</formula1>
    </dataValidation>
    <dataValidation type="whole" operator="lessThanOrEqual" allowBlank="1" showErrorMessage="1" errorTitle="Mensagem de Erro" error="F não pode ser Superior a MF" sqref="E63">
      <formula1>D63</formula1>
    </dataValidation>
    <dataValidation type="whole" operator="lessThanOrEqual" allowBlank="1" showErrorMessage="1" errorTitle="Mensagem de Erro" error="F não pode ser Superior a MF" sqref="E64">
      <formula1>D64</formula1>
    </dataValidation>
    <dataValidation type="whole" operator="lessThanOrEqual" allowBlank="1" showErrorMessage="1" errorTitle="Mensagem de Erro" error="F não pode ser Superior a MF" sqref="E65">
      <formula1>D65</formula1>
    </dataValidation>
    <dataValidation type="whole" operator="lessThanOrEqual" allowBlank="1" showErrorMessage="1" errorTitle="Mensagem de Erro" error="F não pode ser Superior a MF" sqref="E66">
      <formula1>D66</formula1>
    </dataValidation>
    <dataValidation type="whole" operator="lessThanOrEqual" allowBlank="1" showErrorMessage="1" errorTitle="Mensagem de Erro" error="F não pode ser Superior a MF" sqref="E67">
      <formula1>D67</formula1>
    </dataValidation>
    <dataValidation type="whole" operator="lessThanOrEqual" allowBlank="1" showErrorMessage="1" errorTitle="Mensagem de Erro" error="F não pode ser Superior a MF" sqref="E68">
      <formula1>D68</formula1>
    </dataValidation>
    <dataValidation type="whole" operator="lessThanOrEqual" allowBlank="1" showErrorMessage="1" errorTitle="Mensagem de Erro" error="F não pode ser Superior a MF" sqref="E69">
      <formula1>D69</formula1>
    </dataValidation>
    <dataValidation type="whole" operator="lessThanOrEqual" allowBlank="1" showErrorMessage="1" errorTitle="Mensagem de Erro" error="F não pode ser Superior a MF" sqref="E7">
      <formula1>D7</formula1>
    </dataValidation>
    <dataValidation type="whole" operator="lessThanOrEqual" allowBlank="1" showErrorMessage="1" errorTitle="Mensagem de Erro" error="F não pode ser Superior a MF" sqref="E70">
      <formula1>D70</formula1>
    </dataValidation>
    <dataValidation type="whole" operator="lessThanOrEqual" allowBlank="1" showErrorMessage="1" errorTitle="Mensagem de Erro" error="F não pode ser Superior a MF" sqref="E71">
      <formula1>D71</formula1>
    </dataValidation>
    <dataValidation type="whole" operator="lessThanOrEqual" allowBlank="1" showErrorMessage="1" errorTitle="Mensagem de Erro" error="F não pode ser Superior a MF" sqref="E72">
      <formula1>D72</formula1>
    </dataValidation>
    <dataValidation type="whole" operator="lessThanOrEqual" allowBlank="1" showErrorMessage="1" errorTitle="Mensagem de Erro" error="F não pode ser Superior a MF" sqref="E73">
      <formula1>D73</formula1>
    </dataValidation>
    <dataValidation type="whole" operator="lessThanOrEqual" allowBlank="1" showErrorMessage="1" errorTitle="Mensagem de Erro" error="F não pode ser Superior a MF" sqref="E74">
      <formula1>D74</formula1>
    </dataValidation>
    <dataValidation type="whole" operator="lessThanOrEqual" allowBlank="1" showErrorMessage="1" errorTitle="Mensagem de Erro" error="F não pode ser Superior a MF" sqref="E75">
      <formula1>D75</formula1>
    </dataValidation>
    <dataValidation type="whole" operator="lessThanOrEqual" allowBlank="1" showErrorMessage="1" errorTitle="Mensagem de Erro" error="F não pode ser Superior a MF" sqref="E76">
      <formula1>D76</formula1>
    </dataValidation>
    <dataValidation type="whole" operator="lessThanOrEqual" allowBlank="1" showErrorMessage="1" errorTitle="Mensagem de Erro" error="F não pode ser Superior a MF" sqref="E77">
      <formula1>D77</formula1>
    </dataValidation>
    <dataValidation type="whole" operator="lessThanOrEqual" allowBlank="1" showErrorMessage="1" errorTitle="Mensagem de Erro" error="F não pode ser Superior a MF" sqref="E78">
      <formula1>D78</formula1>
    </dataValidation>
    <dataValidation type="whole" operator="lessThanOrEqual" allowBlank="1" showErrorMessage="1" errorTitle="Mensagem de Erro" error="F não pode ser Superior a MF" sqref="E79">
      <formula1>D79</formula1>
    </dataValidation>
    <dataValidation type="whole" operator="lessThanOrEqual" allowBlank="1" showErrorMessage="1" errorTitle="Mensagem de Erro" error="F não pode ser Superior a MF" sqref="E8">
      <formula1>D8</formula1>
    </dataValidation>
    <dataValidation type="whole" operator="lessThanOrEqual" allowBlank="1" showErrorMessage="1" errorTitle="Mensagem de Erro" error="F não pode ser Superior a MF" sqref="E80">
      <formula1>D80</formula1>
    </dataValidation>
    <dataValidation type="whole" operator="lessThanOrEqual" allowBlank="1" showErrorMessage="1" errorTitle="Mensagem de Erro" error="F não pode ser Superior a MF" sqref="E81">
      <formula1>D81</formula1>
    </dataValidation>
    <dataValidation type="whole" operator="lessThanOrEqual" allowBlank="1" showErrorMessage="1" errorTitle="Mensagem de Erro" error="F não pode ser Superior a MF" sqref="E82">
      <formula1>D82</formula1>
    </dataValidation>
    <dataValidation type="whole" operator="lessThanOrEqual" allowBlank="1" showErrorMessage="1" errorTitle="Mensagem de Erro" error="F não pode ser Superior a MF" sqref="E83">
      <formula1>D83</formula1>
    </dataValidation>
    <dataValidation type="whole" operator="lessThanOrEqual" allowBlank="1" showErrorMessage="1" errorTitle="Mensagem de Erro" error="F não pode ser Superior a MF" sqref="E84">
      <formula1>D84</formula1>
    </dataValidation>
    <dataValidation type="whole" operator="lessThanOrEqual" allowBlank="1" showErrorMessage="1" errorTitle="Mensagem de Erro" error="F não pode ser Superior a MF" sqref="E85">
      <formula1>D85</formula1>
    </dataValidation>
    <dataValidation type="whole" operator="lessThanOrEqual" allowBlank="1" showErrorMessage="1" errorTitle="Mensagem de Erro" error="F não pode ser Superior a MF" sqref="E86">
      <formula1>D86</formula1>
    </dataValidation>
    <dataValidation type="whole" operator="lessThanOrEqual" allowBlank="1" showErrorMessage="1" errorTitle="Mensagem de Erro" error="F não pode ser Superior a MF" sqref="E87">
      <formula1>D87</formula1>
    </dataValidation>
    <dataValidation type="whole" operator="lessThanOrEqual" allowBlank="1" showErrorMessage="1" errorTitle="Mensagem de Erro" error="F não pode ser Superior a MF" sqref="E88">
      <formula1>D88</formula1>
    </dataValidation>
    <dataValidation type="whole" operator="lessThanOrEqual" allowBlank="1" showErrorMessage="1" errorTitle="Mensagem de Erro" error="F não pode ser Superior a MF" sqref="E89">
      <formula1>D89</formula1>
    </dataValidation>
    <dataValidation type="whole" operator="lessThanOrEqual" allowBlank="1" showErrorMessage="1" errorTitle="Mensagem de Erro" error="F não pode ser Superior a MF" sqref="E9">
      <formula1>D9</formula1>
    </dataValidation>
    <dataValidation type="whole" operator="lessThanOrEqual" allowBlank="1" showErrorMessage="1" errorTitle="Mensagem de Erro" error="F não pode ser Superior a MF" sqref="E90">
      <formula1>D90</formula1>
    </dataValidation>
    <dataValidation type="whole" operator="lessThanOrEqual" allowBlank="1" showErrorMessage="1" errorTitle="Mensagem de Erro" error="F não pode ser Superior a MF" sqref="E91">
      <formula1>D91</formula1>
    </dataValidation>
    <dataValidation type="whole" operator="lessThanOrEqual" allowBlank="1" showErrorMessage="1" errorTitle="Mensagem de Erro" error="F não pode ser Superior a MF" sqref="E92">
      <formula1>D92</formula1>
    </dataValidation>
    <dataValidation type="whole" operator="lessThanOrEqual" allowBlank="1" showErrorMessage="1" errorTitle="Mensagem de Erro" error="F não pode ser Superior a MF" sqref="E93">
      <formula1>D93</formula1>
    </dataValidation>
    <dataValidation type="whole" operator="lessThanOrEqual" allowBlank="1" showErrorMessage="1" errorTitle="Mensagem de Erro" error="F não pode ser Superior a MF" sqref="E94">
      <formula1>D94</formula1>
    </dataValidation>
    <dataValidation type="whole" operator="lessThanOrEqual" allowBlank="1" showErrorMessage="1" errorTitle="Mensagem de Erro" error="F não pode ser Superior a MF" sqref="E95">
      <formula1>D95</formula1>
    </dataValidation>
    <dataValidation type="whole" operator="lessThanOrEqual" allowBlank="1" showErrorMessage="1" errorTitle="Mensagem de Erro" error="F não pode ser Superior a MF" sqref="E96">
      <formula1>D96</formula1>
    </dataValidation>
    <dataValidation type="whole" operator="lessThanOrEqual" allowBlank="1" showErrorMessage="1" errorTitle="Mensagem de Erro" error="F não pode ser Superior a MF" sqref="E97">
      <formula1>D97</formula1>
    </dataValidation>
    <dataValidation type="whole" operator="lessThanOrEqual" allowBlank="1" showErrorMessage="1" errorTitle="Mensagem de Erro" error="F não pode ser Superior a MF" sqref="E98">
      <formula1>D98</formula1>
    </dataValidation>
    <dataValidation type="whole" operator="lessThanOrEqual" allowBlank="1" showErrorMessage="1" errorTitle="Mensagem de Erro" error="F não pode ser Superior a MF" sqref="E99">
      <formula1>D99</formula1>
    </dataValidation>
    <dataValidation type="whole" operator="lessThanOrEqual" allowBlank="1" showErrorMessage="1" errorTitle="Mensagem de Erro" error="F não pode ser Superior a MF" sqref="G10">
      <formula1>F10</formula1>
    </dataValidation>
    <dataValidation type="whole" operator="lessThanOrEqual" allowBlank="1" showErrorMessage="1" errorTitle="Mensagem de Erro" error="F não pode ser Superior a MF" sqref="G100">
      <formula1>F100</formula1>
    </dataValidation>
    <dataValidation type="whole" operator="lessThanOrEqual" allowBlank="1" showErrorMessage="1" errorTitle="Mensagem de Erro" error="F não pode ser Superior a MF" sqref="G101">
      <formula1>F101</formula1>
    </dataValidation>
    <dataValidation type="whole" operator="lessThanOrEqual" allowBlank="1" showErrorMessage="1" errorTitle="Mensagem de Erro" error="F não pode ser Superior a MF" sqref="G102">
      <formula1>F102</formula1>
    </dataValidation>
    <dataValidation type="whole" operator="lessThanOrEqual" allowBlank="1" showErrorMessage="1" errorTitle="Mensagem de Erro" error="F não pode ser Superior a MF" sqref="G103">
      <formula1>F103</formula1>
    </dataValidation>
    <dataValidation type="whole" operator="lessThanOrEqual" allowBlank="1" showErrorMessage="1" errorTitle="Mensagem de Erro" error="F não pode ser Superior a MF" sqref="G104">
      <formula1>F104</formula1>
    </dataValidation>
    <dataValidation type="whole" operator="lessThanOrEqual" allowBlank="1" showErrorMessage="1" errorTitle="Mensagem de Erro" error="F não pode ser Superior a MF" sqref="G105">
      <formula1>F105</formula1>
    </dataValidation>
    <dataValidation type="whole" operator="lessThanOrEqual" allowBlank="1" showErrorMessage="1" errorTitle="Mensagem de Erro" error="F não pode ser Superior a MF" sqref="G106">
      <formula1>F106</formula1>
    </dataValidation>
    <dataValidation type="whole" operator="lessThanOrEqual" allowBlank="1" showErrorMessage="1" errorTitle="Mensagem de Erro" error="F não pode ser Superior a MF" sqref="G107">
      <formula1>F107</formula1>
    </dataValidation>
    <dataValidation type="whole" operator="lessThanOrEqual" allowBlank="1" showErrorMessage="1" errorTitle="Mensagem de Erro" error="F não pode ser Superior a MF" sqref="G108">
      <formula1>F108</formula1>
    </dataValidation>
    <dataValidation type="whole" operator="lessThanOrEqual" allowBlank="1" showErrorMessage="1" errorTitle="Mensagem de Erro" error="F não pode ser Superior a MF" sqref="G109">
      <formula1>F109</formula1>
    </dataValidation>
    <dataValidation type="whole" operator="lessThanOrEqual" allowBlank="1" showErrorMessage="1" errorTitle="Mensagem de Erro" error="F não pode ser Superior a MF" sqref="G11">
      <formula1>F11</formula1>
    </dataValidation>
    <dataValidation type="whole" operator="lessThanOrEqual" allowBlank="1" showErrorMessage="1" errorTitle="Mensagem de Erro" error="F não pode ser Superior a MF" sqref="G110">
      <formula1>F110</formula1>
    </dataValidation>
    <dataValidation type="whole" operator="lessThanOrEqual" allowBlank="1" showErrorMessage="1" errorTitle="Mensagem de Erro" error="F não pode ser Superior a MF" sqref="G111">
      <formula1>F111</formula1>
    </dataValidation>
    <dataValidation type="whole" operator="lessThanOrEqual" allowBlank="1" showErrorMessage="1" errorTitle="Mensagem de Erro" error="F não pode ser Superior a MF" sqref="G112">
      <formula1>F112</formula1>
    </dataValidation>
    <dataValidation type="whole" operator="lessThanOrEqual" allowBlank="1" showErrorMessage="1" errorTitle="Mensagem de Erro" error="F não pode ser Superior a MF" sqref="G113">
      <formula1>F113</formula1>
    </dataValidation>
    <dataValidation type="whole" operator="lessThanOrEqual" allowBlank="1" showErrorMessage="1" errorTitle="Mensagem de Erro" error="F não pode ser Superior a MF" sqref="G114">
      <formula1>F114</formula1>
    </dataValidation>
    <dataValidation type="whole" operator="lessThanOrEqual" allowBlank="1" showErrorMessage="1" errorTitle="Mensagem de Erro" error="F não pode ser Superior a MF" sqref="G115">
      <formula1>F115</formula1>
    </dataValidation>
    <dataValidation type="whole" operator="lessThanOrEqual" allowBlank="1" showErrorMessage="1" errorTitle="Mensagem de Erro" error="F não pode ser Superior a MF" sqref="G116">
      <formula1>F116</formula1>
    </dataValidation>
    <dataValidation type="whole" operator="lessThanOrEqual" allowBlank="1" showErrorMessage="1" errorTitle="Mensagem de Erro" error="F não pode ser Superior a MF" sqref="G117">
      <formula1>F117</formula1>
    </dataValidation>
    <dataValidation type="whole" operator="lessThanOrEqual" allowBlank="1" showErrorMessage="1" errorTitle="Mensagem de Erro" error="F não pode ser Superior a MF" sqref="G118">
      <formula1>F118</formula1>
    </dataValidation>
    <dataValidation type="whole" operator="lessThanOrEqual" allowBlank="1" showErrorMessage="1" errorTitle="Mensagem de Erro" error="F não pode ser Superior a MF" sqref="G119">
      <formula1>F119</formula1>
    </dataValidation>
    <dataValidation type="whole" operator="lessThanOrEqual" allowBlank="1" showErrorMessage="1" errorTitle="Mensagem de Erro" error="F não pode ser Superior a MF" sqref="G12">
      <formula1>F12</formula1>
    </dataValidation>
    <dataValidation type="whole" operator="lessThanOrEqual" allowBlank="1" showErrorMessage="1" errorTitle="Mensagem de Erro" error="F não pode ser Superior a MF" sqref="G120">
      <formula1>F120</formula1>
    </dataValidation>
    <dataValidation type="whole" operator="lessThanOrEqual" allowBlank="1" showErrorMessage="1" errorTitle="Mensagem de Erro" error="F não pode ser Superior a MF" sqref="G121">
      <formula1>F121</formula1>
    </dataValidation>
    <dataValidation type="whole" operator="lessThanOrEqual" allowBlank="1" showErrorMessage="1" errorTitle="Mensagem de Erro" error="F não pode ser Superior a MF" sqref="G122">
      <formula1>F122</formula1>
    </dataValidation>
    <dataValidation type="whole" operator="lessThanOrEqual" allowBlank="1" showErrorMessage="1" errorTitle="Mensagem de Erro" error="F não pode ser Superior a MF" sqref="G123">
      <formula1>F123</formula1>
    </dataValidation>
    <dataValidation type="whole" operator="lessThanOrEqual" allowBlank="1" showErrorMessage="1" errorTitle="Mensagem de Erro" error="F não pode ser Superior a MF" sqref="G124">
      <formula1>F124</formula1>
    </dataValidation>
    <dataValidation type="whole" operator="lessThanOrEqual" allowBlank="1" showErrorMessage="1" errorTitle="Mensagem de Erro" error="F não pode ser Superior a MF" sqref="G125">
      <formula1>F125</formula1>
    </dataValidation>
    <dataValidation type="whole" operator="lessThanOrEqual" allowBlank="1" showErrorMessage="1" errorTitle="Mensagem de Erro" error="F não pode ser Superior a MF" sqref="G126">
      <formula1>F126</formula1>
    </dataValidation>
    <dataValidation type="whole" operator="lessThanOrEqual" allowBlank="1" showErrorMessage="1" errorTitle="Mensagem de Erro" error="F não pode ser Superior a MF" sqref="G127">
      <formula1>F127</formula1>
    </dataValidation>
    <dataValidation type="whole" operator="lessThanOrEqual" allowBlank="1" showErrorMessage="1" errorTitle="Mensagem de Erro" error="F não pode ser Superior a MF" sqref="G128">
      <formula1>F128</formula1>
    </dataValidation>
    <dataValidation type="whole" operator="lessThanOrEqual" allowBlank="1" showErrorMessage="1" errorTitle="Mensagem de Erro" error="F não pode ser Superior a MF" sqref="G129">
      <formula1>F129</formula1>
    </dataValidation>
    <dataValidation type="whole" operator="lessThanOrEqual" allowBlank="1" showErrorMessage="1" errorTitle="Mensagem de Erro" error="F não pode ser Superior a MF" sqref="G13">
      <formula1>F13</formula1>
    </dataValidation>
    <dataValidation type="whole" operator="lessThanOrEqual" allowBlank="1" showErrorMessage="1" errorTitle="Mensagem de Erro" error="F não pode ser Superior a MF" sqref="G130">
      <formula1>F130</formula1>
    </dataValidation>
    <dataValidation type="whole" operator="lessThanOrEqual" allowBlank="1" showErrorMessage="1" errorTitle="Mensagem de Erro" error="F não pode ser Superior a MF" sqref="G131">
      <formula1>F131</formula1>
    </dataValidation>
    <dataValidation type="whole" operator="lessThanOrEqual" allowBlank="1" showErrorMessage="1" errorTitle="Mensagem de Erro" error="F não pode ser Superior a MF" sqref="G132">
      <formula1>F132</formula1>
    </dataValidation>
    <dataValidation type="whole" operator="lessThanOrEqual" allowBlank="1" showErrorMessage="1" errorTitle="Mensagem de Erro" error="F não pode ser Superior a MF" sqref="G133">
      <formula1>F133</formula1>
    </dataValidation>
    <dataValidation type="whole" operator="lessThanOrEqual" allowBlank="1" showErrorMessage="1" errorTitle="Mensagem de Erro" error="F não pode ser Superior a MF" sqref="G134">
      <formula1>F134</formula1>
    </dataValidation>
    <dataValidation type="whole" operator="lessThanOrEqual" allowBlank="1" showErrorMessage="1" errorTitle="Mensagem de Erro" error="F não pode ser Superior a MF" sqref="G135">
      <formula1>F135</formula1>
    </dataValidation>
    <dataValidation type="whole" operator="lessThanOrEqual" allowBlank="1" showErrorMessage="1" errorTitle="Mensagem de Erro" error="F não pode ser Superior a MF" sqref="G136">
      <formula1>F136</formula1>
    </dataValidation>
    <dataValidation type="whole" operator="lessThanOrEqual" allowBlank="1" showErrorMessage="1" errorTitle="Mensagem de Erro" error="F não pode ser Superior a MF" sqref="G137">
      <formula1>F137</formula1>
    </dataValidation>
    <dataValidation type="whole" operator="lessThanOrEqual" allowBlank="1" showErrorMessage="1" errorTitle="Mensagem de Erro" error="F não pode ser Superior a MF" sqref="G138">
      <formula1>F138</formula1>
    </dataValidation>
    <dataValidation type="whole" operator="lessThanOrEqual" allowBlank="1" showErrorMessage="1" errorTitle="Mensagem de Erro" error="F não pode ser Superior a MF" sqref="G139">
      <formula1>F139</formula1>
    </dataValidation>
    <dataValidation type="whole" operator="lessThanOrEqual" allowBlank="1" showErrorMessage="1" errorTitle="Mensagem de Erro" error="F não pode ser Superior a MF" sqref="G14">
      <formula1>F14</formula1>
    </dataValidation>
    <dataValidation type="whole" operator="lessThanOrEqual" allowBlank="1" showErrorMessage="1" errorTitle="Mensagem de Erro" error="F não pode ser Superior a MF" sqref="G140">
      <formula1>F140</formula1>
    </dataValidation>
    <dataValidation type="whole" operator="lessThanOrEqual" allowBlank="1" showErrorMessage="1" errorTitle="Mensagem de Erro" error="F não pode ser Superior a MF" sqref="G141">
      <formula1>F141</formula1>
    </dataValidation>
    <dataValidation type="whole" operator="lessThanOrEqual" allowBlank="1" showErrorMessage="1" errorTitle="Mensagem de Erro" error="F não pode ser Superior a MF" sqref="G142">
      <formula1>F142</formula1>
    </dataValidation>
    <dataValidation type="whole" operator="lessThanOrEqual" allowBlank="1" showErrorMessage="1" errorTitle="Mensagem de Erro" error="F não pode ser Superior a MF" sqref="G143">
      <formula1>F143</formula1>
    </dataValidation>
    <dataValidation type="whole" operator="lessThanOrEqual" allowBlank="1" showErrorMessage="1" errorTitle="Mensagem de Erro" error="F não pode ser Superior a MF" sqref="G144">
      <formula1>F144</formula1>
    </dataValidation>
    <dataValidation type="whole" operator="lessThanOrEqual" allowBlank="1" showErrorMessage="1" errorTitle="Mensagem de Erro" error="F não pode ser Superior a MF" sqref="G145">
      <formula1>F145</formula1>
    </dataValidation>
    <dataValidation type="whole" operator="lessThanOrEqual" allowBlank="1" showErrorMessage="1" errorTitle="Mensagem de Erro" error="F não pode ser Superior a MF" sqref="G146">
      <formula1>F146</formula1>
    </dataValidation>
    <dataValidation type="whole" operator="lessThanOrEqual" allowBlank="1" showErrorMessage="1" errorTitle="Mensagem de Erro" error="F não pode ser Superior a MF" sqref="G147">
      <formula1>F147</formula1>
    </dataValidation>
    <dataValidation type="whole" operator="lessThanOrEqual" allowBlank="1" showErrorMessage="1" errorTitle="Mensagem de Erro" error="F não pode ser Superior a MF" sqref="G148">
      <formula1>F148</formula1>
    </dataValidation>
    <dataValidation type="whole" operator="lessThanOrEqual" allowBlank="1" showErrorMessage="1" errorTitle="Mensagem de Erro" error="F não pode ser Superior a MF" sqref="G149">
      <formula1>F149</formula1>
    </dataValidation>
    <dataValidation type="whole" operator="lessThanOrEqual" allowBlank="1" showErrorMessage="1" errorTitle="Mensagem de Erro" error="F não pode ser Superior a MF" sqref="G15">
      <formula1>F15</formula1>
    </dataValidation>
    <dataValidation type="whole" operator="lessThanOrEqual" allowBlank="1" showErrorMessage="1" errorTitle="Mensagem de Erro" error="F não pode ser Superior a MF" sqref="G150">
      <formula1>F150</formula1>
    </dataValidation>
    <dataValidation type="whole" operator="lessThanOrEqual" allowBlank="1" showErrorMessage="1" errorTitle="Mensagem de Erro" error="F não pode ser Superior a MF" sqref="G151">
      <formula1>F151</formula1>
    </dataValidation>
    <dataValidation type="whole" operator="lessThanOrEqual" allowBlank="1" showErrorMessage="1" errorTitle="Mensagem de Erro" error="F não pode ser Superior a MF" sqref="G152">
      <formula1>F152</formula1>
    </dataValidation>
    <dataValidation type="whole" operator="lessThanOrEqual" allowBlank="1" showErrorMessage="1" errorTitle="Mensagem de Erro" error="F não pode ser Superior a MF" sqref="G153">
      <formula1>F153</formula1>
    </dataValidation>
    <dataValidation type="whole" operator="lessThanOrEqual" allowBlank="1" showErrorMessage="1" errorTitle="Mensagem de Erro" error="F não pode ser Superior a MF" sqref="G154">
      <formula1>F154</formula1>
    </dataValidation>
    <dataValidation type="whole" operator="lessThanOrEqual" allowBlank="1" showErrorMessage="1" errorTitle="Mensagem de Erro" error="F não pode ser Superior a MF" sqref="G155">
      <formula1>F155</formula1>
    </dataValidation>
    <dataValidation type="whole" operator="lessThanOrEqual" allowBlank="1" showErrorMessage="1" errorTitle="Mensagem de Erro" error="F não pode ser Superior a MF" sqref="G156">
      <formula1>F156</formula1>
    </dataValidation>
    <dataValidation type="whole" operator="lessThanOrEqual" allowBlank="1" showErrorMessage="1" errorTitle="Mensagem de Erro" error="F não pode ser Superior a MF" sqref="G157">
      <formula1>F157</formula1>
    </dataValidation>
    <dataValidation type="whole" operator="lessThanOrEqual" allowBlank="1" showErrorMessage="1" errorTitle="Mensagem de Erro" error="F não pode ser Superior a MF" sqref="G158">
      <formula1>F158</formula1>
    </dataValidation>
    <dataValidation type="whole" operator="lessThanOrEqual" allowBlank="1" showErrorMessage="1" errorTitle="Mensagem de Erro" error="F não pode ser Superior a MF" sqref="G159">
      <formula1>F159</formula1>
    </dataValidation>
    <dataValidation type="whole" operator="lessThanOrEqual" allowBlank="1" showErrorMessage="1" errorTitle="Mensagem de Erro" error="F não pode ser Superior a MF" sqref="G16">
      <formula1>F16</formula1>
    </dataValidation>
    <dataValidation type="whole" operator="lessThanOrEqual" allowBlank="1" showErrorMessage="1" errorTitle="Mensagem de Erro" error="F não pode ser Superior a MF" sqref="G160">
      <formula1>F160</formula1>
    </dataValidation>
    <dataValidation type="whole" operator="lessThanOrEqual" allowBlank="1" showErrorMessage="1" errorTitle="Mensagem de Erro" error="F não pode ser Superior a MF" sqref="G161">
      <formula1>F161</formula1>
    </dataValidation>
    <dataValidation type="whole" operator="lessThanOrEqual" allowBlank="1" showErrorMessage="1" errorTitle="Mensagem de Erro" error="F não pode ser Superior a MF" sqref="G162">
      <formula1>F162</formula1>
    </dataValidation>
    <dataValidation type="whole" operator="lessThanOrEqual" allowBlank="1" showErrorMessage="1" errorTitle="Mensagem de Erro" error="F não pode ser Superior a MF" sqref="G163">
      <formula1>F163</formula1>
    </dataValidation>
    <dataValidation type="whole" operator="lessThanOrEqual" allowBlank="1" showErrorMessage="1" errorTitle="Mensagem de Erro" error="F não pode ser Superior a MF" sqref="G164">
      <formula1>F164</formula1>
    </dataValidation>
    <dataValidation type="whole" operator="lessThanOrEqual" allowBlank="1" showErrorMessage="1" errorTitle="Mensagem de Erro" error="F não pode ser Superior a MF" sqref="G165">
      <formula1>F165</formula1>
    </dataValidation>
    <dataValidation type="whole" operator="lessThanOrEqual" allowBlank="1" showErrorMessage="1" errorTitle="Mensagem de Erro" error="F não pode ser Superior a MF" sqref="G166">
      <formula1>F166</formula1>
    </dataValidation>
    <dataValidation type="whole" operator="lessThanOrEqual" allowBlank="1" showErrorMessage="1" errorTitle="Mensagem de Erro" error="F não pode ser Superior a MF" sqref="G167">
      <formula1>F167</formula1>
    </dataValidation>
    <dataValidation type="whole" operator="lessThanOrEqual" allowBlank="1" showErrorMessage="1" errorTitle="Mensagem de Erro" error="F não pode ser Superior a MF" sqref="G168">
      <formula1>F168</formula1>
    </dataValidation>
    <dataValidation type="whole" operator="lessThanOrEqual" allowBlank="1" showErrorMessage="1" errorTitle="Mensagem de Erro" error="F não pode ser Superior a MF" sqref="G169">
      <formula1>F169</formula1>
    </dataValidation>
    <dataValidation type="whole" operator="lessThanOrEqual" allowBlank="1" showErrorMessage="1" errorTitle="Mensagem de Erro" error="F não pode ser Superior a MF" sqref="G17">
      <formula1>F17</formula1>
    </dataValidation>
    <dataValidation type="whole" operator="lessThanOrEqual" allowBlank="1" showErrorMessage="1" errorTitle="Mensagem de Erro" error="F não pode ser Superior a MF" sqref="G170">
      <formula1>F170</formula1>
    </dataValidation>
    <dataValidation type="whole" operator="lessThanOrEqual" allowBlank="1" showErrorMessage="1" errorTitle="Mensagem de Erro" error="F não pode ser Superior a MF" sqref="G171">
      <formula1>F171</formula1>
    </dataValidation>
    <dataValidation type="whole" operator="lessThanOrEqual" allowBlank="1" showErrorMessage="1" errorTitle="Mensagem de Erro" error="F não pode ser Superior a MF" sqref="G172">
      <formula1>F172</formula1>
    </dataValidation>
    <dataValidation type="whole" operator="lessThanOrEqual" allowBlank="1" showErrorMessage="1" errorTitle="Mensagem de Erro" error="F não pode ser Superior a MF" sqref="G173">
      <formula1>F173</formula1>
    </dataValidation>
    <dataValidation type="whole" operator="lessThanOrEqual" allowBlank="1" showErrorMessage="1" errorTitle="Mensagem de Erro" error="F não pode ser Superior a MF" sqref="G174">
      <formula1>F174</formula1>
    </dataValidation>
    <dataValidation type="whole" operator="lessThanOrEqual" allowBlank="1" showErrorMessage="1" errorTitle="Mensagem de Erro" error="F não pode ser Superior a MF" sqref="G175">
      <formula1>F175</formula1>
    </dataValidation>
    <dataValidation type="whole" operator="lessThanOrEqual" allowBlank="1" showErrorMessage="1" errorTitle="Mensagem de Erro" error="F não pode ser Superior a MF" sqref="G176">
      <formula1>F176</formula1>
    </dataValidation>
    <dataValidation type="whole" operator="lessThanOrEqual" allowBlank="1" showErrorMessage="1" errorTitle="Mensagem de Erro" error="F não pode ser Superior a MF" sqref="G177">
      <formula1>F177</formula1>
    </dataValidation>
    <dataValidation type="whole" operator="lessThanOrEqual" allowBlank="1" showErrorMessage="1" errorTitle="Mensagem de Erro" error="F não pode ser Superior a MF" sqref="G178">
      <formula1>F178</formula1>
    </dataValidation>
    <dataValidation type="whole" operator="lessThanOrEqual" allowBlank="1" showErrorMessage="1" errorTitle="Mensagem de Erro" error="F não pode ser Superior a MF" sqref="G179">
      <formula1>F179</formula1>
    </dataValidation>
    <dataValidation type="whole" operator="lessThanOrEqual" allowBlank="1" showErrorMessage="1" errorTitle="Mensagem de Erro" error="F não pode ser Superior a MF" sqref="G18">
      <formula1>F18</formula1>
    </dataValidation>
    <dataValidation type="whole" operator="lessThanOrEqual" allowBlank="1" showErrorMessage="1" errorTitle="Mensagem de Erro" error="F não pode ser Superior a MF" sqref="G180">
      <formula1>F180</formula1>
    </dataValidation>
    <dataValidation type="whole" operator="lessThanOrEqual" allowBlank="1" showErrorMessage="1" errorTitle="Mensagem de Erro" error="F não pode ser Superior a MF" sqref="G181">
      <formula1>F181</formula1>
    </dataValidation>
    <dataValidation type="whole" operator="lessThanOrEqual" allowBlank="1" showErrorMessage="1" errorTitle="Mensagem de Erro" error="F não pode ser Superior a MF" sqref="G182">
      <formula1>F182</formula1>
    </dataValidation>
    <dataValidation type="whole" operator="lessThanOrEqual" allowBlank="1" showErrorMessage="1" errorTitle="Mensagem de Erro" error="F não pode ser Superior a MF" sqref="G183">
      <formula1>F183</formula1>
    </dataValidation>
    <dataValidation type="whole" operator="lessThanOrEqual" allowBlank="1" showErrorMessage="1" errorTitle="Mensagem de Erro" error="F não pode ser Superior a MF" sqref="G184">
      <formula1>F184</formula1>
    </dataValidation>
    <dataValidation type="whole" operator="lessThanOrEqual" allowBlank="1" showErrorMessage="1" errorTitle="Mensagem de Erro" error="F não pode ser Superior a MF" sqref="G185">
      <formula1>F185</formula1>
    </dataValidation>
    <dataValidation type="whole" operator="lessThanOrEqual" allowBlank="1" showErrorMessage="1" errorTitle="Mensagem de Erro" error="F não pode ser Superior a MF" sqref="G186">
      <formula1>F186</formula1>
    </dataValidation>
    <dataValidation type="whole" operator="lessThanOrEqual" allowBlank="1" showErrorMessage="1" errorTitle="Mensagem de Erro" error="F não pode ser Superior a MF" sqref="G187">
      <formula1>F187</formula1>
    </dataValidation>
    <dataValidation type="whole" operator="lessThanOrEqual" allowBlank="1" showErrorMessage="1" errorTitle="Mensagem de Erro" error="F não pode ser Superior a MF" sqref="G188">
      <formula1>F188</formula1>
    </dataValidation>
    <dataValidation type="whole" operator="lessThanOrEqual" allowBlank="1" showErrorMessage="1" errorTitle="Mensagem de Erro" error="F não pode ser Superior a MF" sqref="G189">
      <formula1>F189</formula1>
    </dataValidation>
    <dataValidation type="whole" operator="lessThanOrEqual" allowBlank="1" showErrorMessage="1" errorTitle="Mensagem de Erro" error="F não pode ser Superior a MF" sqref="G19">
      <formula1>F19</formula1>
    </dataValidation>
    <dataValidation type="whole" operator="lessThanOrEqual" allowBlank="1" showErrorMessage="1" errorTitle="Mensagem de Erro" error="F não pode ser Superior a MF" sqref="G190">
      <formula1>F190</formula1>
    </dataValidation>
    <dataValidation type="whole" operator="lessThanOrEqual" allowBlank="1" showErrorMessage="1" errorTitle="Mensagem de Erro" error="F não pode ser Superior a MF" sqref="G191">
      <formula1>F191</formula1>
    </dataValidation>
    <dataValidation type="whole" operator="lessThanOrEqual" allowBlank="1" showErrorMessage="1" errorTitle="Mensagem de Erro" error="F não pode ser Superior a MF" sqref="G192">
      <formula1>F192</formula1>
    </dataValidation>
    <dataValidation type="whole" operator="lessThanOrEqual" allowBlank="1" showErrorMessage="1" errorTitle="Mensagem de Erro" error="F não pode ser Superior a MF" sqref="G193">
      <formula1>F193</formula1>
    </dataValidation>
    <dataValidation type="whole" operator="lessThanOrEqual" allowBlank="1" showErrorMessage="1" errorTitle="Mensagem de Erro" error="F não pode ser Superior a MF" sqref="G194">
      <formula1>F194</formula1>
    </dataValidation>
    <dataValidation type="whole" operator="lessThanOrEqual" allowBlank="1" showErrorMessage="1" errorTitle="Mensagem de Erro" error="F não pode ser Superior a MF" sqref="G195">
      <formula1>F195</formula1>
    </dataValidation>
    <dataValidation type="whole" operator="lessThanOrEqual" allowBlank="1" showErrorMessage="1" errorTitle="Mensagem de Erro" error="F não pode ser Superior a MF" sqref="G196">
      <formula1>F196</formula1>
    </dataValidation>
    <dataValidation type="whole" operator="lessThanOrEqual" allowBlank="1" showErrorMessage="1" errorTitle="Mensagem de Erro" error="F não pode ser Superior a MF" sqref="G197">
      <formula1>F197</formula1>
    </dataValidation>
    <dataValidation type="whole" operator="lessThanOrEqual" allowBlank="1" showErrorMessage="1" errorTitle="Mensagem de Erro" error="F não pode ser Superior a MF" sqref="G198">
      <formula1>F198</formula1>
    </dataValidation>
    <dataValidation type="whole" operator="lessThanOrEqual" allowBlank="1" showErrorMessage="1" errorTitle="Mensagem de Erro" error="F não pode ser Superior a MF" sqref="G199">
      <formula1>F199</formula1>
    </dataValidation>
    <dataValidation type="whole" operator="lessThanOrEqual" allowBlank="1" showErrorMessage="1" errorTitle="Mensagem de Erro" error="F não pode ser Superior a MF" sqref="G20">
      <formula1>F20</formula1>
    </dataValidation>
    <dataValidation type="whole" operator="lessThanOrEqual" allowBlank="1" showErrorMessage="1" errorTitle="Mensagem de Erro" error="F não pode ser Superior a MF" sqref="G200">
      <formula1>F200</formula1>
    </dataValidation>
    <dataValidation type="whole" operator="lessThanOrEqual" allowBlank="1" showErrorMessage="1" errorTitle="Mensagem de Erro" error="F não pode ser Superior a MF" sqref="G201">
      <formula1>F201</formula1>
    </dataValidation>
    <dataValidation type="whole" operator="lessThanOrEqual" allowBlank="1" showErrorMessage="1" errorTitle="Mensagem de Erro" error="F não pode ser Superior a MF" sqref="G202">
      <formula1>F202</formula1>
    </dataValidation>
    <dataValidation type="whole" operator="lessThanOrEqual" allowBlank="1" showErrorMessage="1" errorTitle="Mensagem de Erro" error="F não pode ser Superior a MF" sqref="G203">
      <formula1>F203</formula1>
    </dataValidation>
    <dataValidation type="whole" operator="lessThanOrEqual" allowBlank="1" showErrorMessage="1" errorTitle="Mensagem de Erro" error="F não pode ser Superior a MF" sqref="G204">
      <formula1>F204</formula1>
    </dataValidation>
    <dataValidation type="whole" operator="lessThanOrEqual" allowBlank="1" showErrorMessage="1" errorTitle="Mensagem de Erro" error="F não pode ser Superior a MF" sqref="G205">
      <formula1>F205</formula1>
    </dataValidation>
    <dataValidation type="whole" operator="lessThanOrEqual" allowBlank="1" showErrorMessage="1" errorTitle="Mensagem de Erro" error="F não pode ser Superior a MF" sqref="G206">
      <formula1>F206</formula1>
    </dataValidation>
    <dataValidation type="whole" operator="lessThanOrEqual" allowBlank="1" showErrorMessage="1" errorTitle="Mensagem de Erro" error="F não pode ser Superior a MF" sqref="G207">
      <formula1>F207</formula1>
    </dataValidation>
    <dataValidation type="whole" operator="lessThanOrEqual" allowBlank="1" showErrorMessage="1" errorTitle="Mensagem de Erro" error="F não pode ser Superior a MF" sqref="G208">
      <formula1>F208</formula1>
    </dataValidation>
    <dataValidation type="whole" operator="lessThanOrEqual" allowBlank="1" showErrorMessage="1" errorTitle="Mensagem de Erro" error="F não pode ser Superior a MF" sqref="G209">
      <formula1>F209</formula1>
    </dataValidation>
    <dataValidation type="whole" operator="lessThanOrEqual" allowBlank="1" showErrorMessage="1" errorTitle="Mensagem de Erro" error="F não pode ser Superior a MF" sqref="G21">
      <formula1>F21</formula1>
    </dataValidation>
    <dataValidation type="whole" operator="lessThanOrEqual" allowBlank="1" showErrorMessage="1" errorTitle="Mensagem de Erro" error="F não pode ser Superior a MF" sqref="G210">
      <formula1>F210</formula1>
    </dataValidation>
    <dataValidation type="whole" operator="lessThanOrEqual" allowBlank="1" showErrorMessage="1" errorTitle="Mensagem de Erro" error="F não pode ser Superior a MF" sqref="G211">
      <formula1>F211</formula1>
    </dataValidation>
    <dataValidation type="whole" operator="lessThanOrEqual" allowBlank="1" showErrorMessage="1" errorTitle="Mensagem de Erro" error="F não pode ser Superior a MF" sqref="G212">
      <formula1>F212</formula1>
    </dataValidation>
    <dataValidation type="whole" operator="lessThanOrEqual" allowBlank="1" showErrorMessage="1" errorTitle="Mensagem de Erro" error="F não pode ser Superior a MF" sqref="G213">
      <formula1>F213</formula1>
    </dataValidation>
    <dataValidation type="whole" operator="lessThanOrEqual" allowBlank="1" showErrorMessage="1" errorTitle="Mensagem de Erro" error="F não pode ser Superior a MF" sqref="G214">
      <formula1>F214</formula1>
    </dataValidation>
    <dataValidation type="whole" operator="lessThanOrEqual" allowBlank="1" showErrorMessage="1" errorTitle="Mensagem de Erro" error="F não pode ser Superior a MF" sqref="G215">
      <formula1>F215</formula1>
    </dataValidation>
    <dataValidation type="whole" operator="lessThanOrEqual" allowBlank="1" showErrorMessage="1" errorTitle="Mensagem de Erro" error="F não pode ser Superior a MF" sqref="G216">
      <formula1>F216</formula1>
    </dataValidation>
    <dataValidation type="whole" operator="lessThanOrEqual" allowBlank="1" showErrorMessage="1" errorTitle="Mensagem de Erro" error="F não pode ser Superior a MF" sqref="G217">
      <formula1>F217</formula1>
    </dataValidation>
    <dataValidation type="whole" operator="lessThanOrEqual" allowBlank="1" showErrorMessage="1" errorTitle="Mensagem de Erro" error="F não pode ser Superior a MF" sqref="G218">
      <formula1>F218</formula1>
    </dataValidation>
    <dataValidation type="whole" operator="lessThanOrEqual" allowBlank="1" showErrorMessage="1" errorTitle="Mensagem de Erro" error="F não pode ser Superior a MF" sqref="G219">
      <formula1>F219</formula1>
    </dataValidation>
    <dataValidation type="whole" operator="lessThanOrEqual" allowBlank="1" showErrorMessage="1" errorTitle="Mensagem de Erro" error="F não pode ser Superior a MF" sqref="G22">
      <formula1>F22</formula1>
    </dataValidation>
    <dataValidation type="whole" operator="lessThanOrEqual" allowBlank="1" showErrorMessage="1" errorTitle="Mensagem de Erro" error="F não pode ser Superior a MF" sqref="G220">
      <formula1>F220</formula1>
    </dataValidation>
    <dataValidation type="whole" operator="lessThanOrEqual" allowBlank="1" showErrorMessage="1" errorTitle="Mensagem de Erro" error="F não pode ser Superior a MF" sqref="G221">
      <formula1>F221</formula1>
    </dataValidation>
    <dataValidation type="whole" operator="lessThanOrEqual" allowBlank="1" showErrorMessage="1" errorTitle="Mensagem de Erro" error="F não pode ser Superior a MF" sqref="G222">
      <formula1>F222</formula1>
    </dataValidation>
    <dataValidation type="whole" operator="lessThanOrEqual" allowBlank="1" showErrorMessage="1" errorTitle="Mensagem de Erro" error="F não pode ser Superior a MF" sqref="G223">
      <formula1>F223</formula1>
    </dataValidation>
    <dataValidation type="whole" operator="lessThanOrEqual" allowBlank="1" showErrorMessage="1" errorTitle="Mensagem de Erro" error="F não pode ser Superior a MF" sqref="G224">
      <formula1>F224</formula1>
    </dataValidation>
    <dataValidation type="whole" operator="lessThanOrEqual" allowBlank="1" showErrorMessage="1" errorTitle="Mensagem de Erro" error="F não pode ser Superior a MF" sqref="G225">
      <formula1>F225</formula1>
    </dataValidation>
    <dataValidation type="whole" operator="lessThanOrEqual" allowBlank="1" showErrorMessage="1" errorTitle="Mensagem de Erro" error="F não pode ser Superior a MF" sqref="G226">
      <formula1>F226</formula1>
    </dataValidation>
    <dataValidation type="whole" operator="lessThanOrEqual" allowBlank="1" showErrorMessage="1" errorTitle="Mensagem de Erro" error="F não pode ser Superior a MF" sqref="G227">
      <formula1>F227</formula1>
    </dataValidation>
    <dataValidation type="whole" operator="lessThanOrEqual" allowBlank="1" showErrorMessage="1" errorTitle="Mensagem de Erro" error="F não pode ser Superior a MF" sqref="G228">
      <formula1>F228</formula1>
    </dataValidation>
    <dataValidation type="whole" operator="lessThanOrEqual" allowBlank="1" showErrorMessage="1" errorTitle="Mensagem de Erro" error="F não pode ser Superior a MF" sqref="G229">
      <formula1>F229</formula1>
    </dataValidation>
    <dataValidation type="whole" operator="lessThanOrEqual" allowBlank="1" showErrorMessage="1" errorTitle="Mensagem de Erro" error="F não pode ser Superior a MF" sqref="G23">
      <formula1>F23</formula1>
    </dataValidation>
    <dataValidation type="whole" operator="lessThanOrEqual" allowBlank="1" showErrorMessage="1" errorTitle="Mensagem de Erro" error="F não pode ser Superior a MF" sqref="G230">
      <formula1>F230</formula1>
    </dataValidation>
    <dataValidation type="whole" operator="lessThanOrEqual" allowBlank="1" showErrorMessage="1" errorTitle="Mensagem de Erro" error="F não pode ser Superior a MF" sqref="G231">
      <formula1>F231</formula1>
    </dataValidation>
    <dataValidation type="whole" operator="lessThanOrEqual" allowBlank="1" showErrorMessage="1" errorTitle="Mensagem de Erro" error="F não pode ser Superior a MF" sqref="G232">
      <formula1>F232</formula1>
    </dataValidation>
    <dataValidation type="whole" operator="lessThanOrEqual" allowBlank="1" showErrorMessage="1" errorTitle="Mensagem de Erro" error="F não pode ser Superior a MF" sqref="G233">
      <formula1>F233</formula1>
    </dataValidation>
    <dataValidation type="whole" operator="lessThanOrEqual" allowBlank="1" showErrorMessage="1" errorTitle="Mensagem de Erro" error="F não pode ser Superior a MF" sqref="G234">
      <formula1>F234</formula1>
    </dataValidation>
    <dataValidation type="whole" operator="lessThanOrEqual" allowBlank="1" showErrorMessage="1" errorTitle="Mensagem de Erro" error="F não pode ser Superior a MF" sqref="G235">
      <formula1>F235</formula1>
    </dataValidation>
    <dataValidation type="whole" operator="lessThanOrEqual" allowBlank="1" showErrorMessage="1" errorTitle="Mensagem de Erro" error="F não pode ser Superior a MF" sqref="G236">
      <formula1>F236</formula1>
    </dataValidation>
    <dataValidation type="whole" operator="lessThanOrEqual" allowBlank="1" showErrorMessage="1" errorTitle="Mensagem de Erro" error="F não pode ser Superior a MF" sqref="G237">
      <formula1>F237</formula1>
    </dataValidation>
    <dataValidation type="whole" operator="lessThanOrEqual" allowBlank="1" showErrorMessage="1" errorTitle="Mensagem de Erro" error="F não pode ser Superior a MF" sqref="G238">
      <formula1>F238</formula1>
    </dataValidation>
    <dataValidation type="whole" operator="lessThanOrEqual" allowBlank="1" showErrorMessage="1" errorTitle="Mensagem de Erro" error="F não pode ser Superior a MF" sqref="G239">
      <formula1>F239</formula1>
    </dataValidation>
    <dataValidation type="whole" operator="lessThanOrEqual" allowBlank="1" showErrorMessage="1" errorTitle="Mensagem de Erro" error="F não pode ser Superior a MF" sqref="G24">
      <formula1>F24</formula1>
    </dataValidation>
    <dataValidation type="whole" operator="lessThanOrEqual" allowBlank="1" showErrorMessage="1" errorTitle="Mensagem de Erro" error="F não pode ser Superior a MF" sqref="G240">
      <formula1>F240</formula1>
    </dataValidation>
    <dataValidation type="whole" operator="lessThanOrEqual" allowBlank="1" showErrorMessage="1" errorTitle="Mensagem de Erro" error="F não pode ser Superior a MF" sqref="G241">
      <formula1>F241</formula1>
    </dataValidation>
    <dataValidation type="whole" operator="lessThanOrEqual" allowBlank="1" showErrorMessage="1" errorTitle="Mensagem de Erro" error="F não pode ser Superior a MF" sqref="G242">
      <formula1>F242</formula1>
    </dataValidation>
    <dataValidation type="whole" operator="lessThanOrEqual" allowBlank="1" showErrorMessage="1" errorTitle="Mensagem de Erro" error="F não pode ser Superior a MF" sqref="G243">
      <formula1>F243</formula1>
    </dataValidation>
    <dataValidation type="whole" operator="lessThanOrEqual" allowBlank="1" showErrorMessage="1" errorTitle="Mensagem de Erro" error="F não pode ser Superior a MF" sqref="G244">
      <formula1>F244</formula1>
    </dataValidation>
    <dataValidation type="whole" operator="lessThanOrEqual" allowBlank="1" showErrorMessage="1" errorTitle="Mensagem de Erro" error="F não pode ser Superior a MF" sqref="G245">
      <formula1>F245</formula1>
    </dataValidation>
    <dataValidation type="whole" operator="lessThanOrEqual" allowBlank="1" showErrorMessage="1" errorTitle="Mensagem de Erro" error="F não pode ser Superior a MF" sqref="G246">
      <formula1>F246</formula1>
    </dataValidation>
    <dataValidation type="whole" operator="lessThanOrEqual" allowBlank="1" showErrorMessage="1" errorTitle="Mensagem de Erro" error="F não pode ser Superior a MF" sqref="G247">
      <formula1>F247</formula1>
    </dataValidation>
    <dataValidation type="whole" operator="lessThanOrEqual" allowBlank="1" showErrorMessage="1" errorTitle="Mensagem de Erro" error="F não pode ser Superior a MF" sqref="G248">
      <formula1>F248</formula1>
    </dataValidation>
    <dataValidation type="whole" operator="lessThanOrEqual" allowBlank="1" showErrorMessage="1" errorTitle="Mensagem de Erro" error="F não pode ser Superior a MF" sqref="G249">
      <formula1>F249</formula1>
    </dataValidation>
    <dataValidation type="whole" operator="lessThanOrEqual" allowBlank="1" showErrorMessage="1" errorTitle="Mensagem de Erro" error="F não pode ser Superior a MF" sqref="G25">
      <formula1>F25</formula1>
    </dataValidation>
    <dataValidation type="whole" operator="lessThanOrEqual" allowBlank="1" showErrorMessage="1" errorTitle="Mensagem de Erro" error="F não pode ser Superior a MF" sqref="G250">
      <formula1>F250</formula1>
    </dataValidation>
    <dataValidation type="whole" operator="lessThanOrEqual" allowBlank="1" showErrorMessage="1" errorTitle="Mensagem de Erro" error="F não pode ser Superior a MF" sqref="G251">
      <formula1>F251</formula1>
    </dataValidation>
    <dataValidation type="whole" operator="lessThanOrEqual" allowBlank="1" showErrorMessage="1" errorTitle="Mensagem de Erro" error="F não pode ser Superior a MF" sqref="G252">
      <formula1>F252</formula1>
    </dataValidation>
    <dataValidation type="whole" operator="lessThanOrEqual" allowBlank="1" showErrorMessage="1" errorTitle="Mensagem de Erro" error="F não pode ser Superior a MF" sqref="G253">
      <formula1>F253</formula1>
    </dataValidation>
    <dataValidation type="whole" operator="lessThanOrEqual" allowBlank="1" showErrorMessage="1" errorTitle="Mensagem de Erro" error="F não pode ser Superior a MF" sqref="G254">
      <formula1>F254</formula1>
    </dataValidation>
    <dataValidation type="whole" operator="lessThanOrEqual" allowBlank="1" showErrorMessage="1" errorTitle="Mensagem de Erro" error="F não pode ser Superior a MF" sqref="G255">
      <formula1>F255</formula1>
    </dataValidation>
    <dataValidation type="whole" operator="lessThanOrEqual" allowBlank="1" showErrorMessage="1" errorTitle="Mensagem de Erro" error="F não pode ser Superior a MF" sqref="G256">
      <formula1>F256</formula1>
    </dataValidation>
    <dataValidation type="whole" operator="lessThanOrEqual" allowBlank="1" showErrorMessage="1" errorTitle="Mensagem de Erro" error="F não pode ser Superior a MF" sqref="G257">
      <formula1>F257</formula1>
    </dataValidation>
    <dataValidation type="whole" operator="lessThanOrEqual" allowBlank="1" showErrorMessage="1" errorTitle="Mensagem de Erro" error="F não pode ser Superior a MF" sqref="G258">
      <formula1>F258</formula1>
    </dataValidation>
    <dataValidation type="whole" operator="lessThanOrEqual" allowBlank="1" showErrorMessage="1" errorTitle="Mensagem de Erro" error="F não pode ser Superior a MF" sqref="G259">
      <formula1>F259</formula1>
    </dataValidation>
    <dataValidation type="whole" operator="lessThanOrEqual" allowBlank="1" showErrorMessage="1" errorTitle="Mensagem de Erro" error="F não pode ser Superior a MF" sqref="G26">
      <formula1>F26</formula1>
    </dataValidation>
    <dataValidation type="whole" operator="lessThanOrEqual" allowBlank="1" showErrorMessage="1" errorTitle="Mensagem de Erro" error="F não pode ser Superior a MF" sqref="G260">
      <formula1>F260</formula1>
    </dataValidation>
    <dataValidation type="whole" operator="lessThanOrEqual" allowBlank="1" showErrorMessage="1" errorTitle="Mensagem de Erro" error="F não pode ser Superior a MF" sqref="G261">
      <formula1>F261</formula1>
    </dataValidation>
    <dataValidation type="whole" operator="lessThanOrEqual" allowBlank="1" showErrorMessage="1" errorTitle="Mensagem de Erro" error="F não pode ser Superior a MF" sqref="G262">
      <formula1>F262</formula1>
    </dataValidation>
    <dataValidation type="whole" operator="lessThanOrEqual" allowBlank="1" showErrorMessage="1" errorTitle="Mensagem de Erro" error="F não pode ser Superior a MF" sqref="G263">
      <formula1>F263</formula1>
    </dataValidation>
    <dataValidation type="whole" operator="lessThanOrEqual" allowBlank="1" showErrorMessage="1" errorTitle="Mensagem de Erro" error="F não pode ser Superior a MF" sqref="G264">
      <formula1>F264</formula1>
    </dataValidation>
    <dataValidation type="whole" operator="lessThanOrEqual" allowBlank="1" showErrorMessage="1" errorTitle="Mensagem de Erro" error="F não pode ser Superior a MF" sqref="G265">
      <formula1>F265</formula1>
    </dataValidation>
    <dataValidation type="whole" operator="lessThanOrEqual" allowBlank="1" showErrorMessage="1" errorTitle="Mensagem de Erro" error="F não pode ser Superior a MF" sqref="G266">
      <formula1>F266</formula1>
    </dataValidation>
    <dataValidation type="whole" operator="lessThanOrEqual" allowBlank="1" showErrorMessage="1" errorTitle="Mensagem de Erro" error="F não pode ser Superior a MF" sqref="G267">
      <formula1>F267</formula1>
    </dataValidation>
    <dataValidation type="whole" operator="lessThanOrEqual" allowBlank="1" showErrorMessage="1" errorTitle="Mensagem de Erro" error="F não pode ser Superior a MF" sqref="G268">
      <formula1>F268</formula1>
    </dataValidation>
    <dataValidation type="whole" operator="lessThanOrEqual" allowBlank="1" showErrorMessage="1" errorTitle="Mensagem de Erro" error="F não pode ser Superior a MF" sqref="G269">
      <formula1>F269</formula1>
    </dataValidation>
    <dataValidation type="whole" operator="lessThanOrEqual" allowBlank="1" showErrorMessage="1" errorTitle="Mensagem de Erro" error="F não pode ser Superior a MF" sqref="G27">
      <formula1>F27</formula1>
    </dataValidation>
    <dataValidation type="whole" operator="lessThanOrEqual" allowBlank="1" showErrorMessage="1" errorTitle="Mensagem de Erro" error="F não pode ser Superior a MF" sqref="G270">
      <formula1>F270</formula1>
    </dataValidation>
    <dataValidation type="whole" operator="lessThanOrEqual" allowBlank="1" showErrorMessage="1" errorTitle="Mensagem de Erro" error="F não pode ser Superior a MF" sqref="G271">
      <formula1>F271</formula1>
    </dataValidation>
    <dataValidation type="whole" operator="lessThanOrEqual" allowBlank="1" showErrorMessage="1" errorTitle="Mensagem de Erro" error="F não pode ser Superior a MF" sqref="G272">
      <formula1>F272</formula1>
    </dataValidation>
    <dataValidation type="whole" operator="lessThanOrEqual" allowBlank="1" showErrorMessage="1" errorTitle="Mensagem de Erro" error="F não pode ser Superior a MF" sqref="G273">
      <formula1>F273</formula1>
    </dataValidation>
    <dataValidation type="whole" operator="lessThanOrEqual" allowBlank="1" showErrorMessage="1" errorTitle="Mensagem de Erro" error="F não pode ser Superior a MF" sqref="G274">
      <formula1>F274</formula1>
    </dataValidation>
    <dataValidation type="whole" operator="lessThanOrEqual" allowBlank="1" showErrorMessage="1" errorTitle="Mensagem de Erro" error="F não pode ser Superior a MF" sqref="G277">
      <formula1>F277</formula1>
    </dataValidation>
    <dataValidation type="whole" operator="lessThanOrEqual" allowBlank="1" showErrorMessage="1" errorTitle="Mensagem de Erro" error="F não pode ser Superior a MF" sqref="G278">
      <formula1>F278</formula1>
    </dataValidation>
    <dataValidation type="whole" operator="lessThanOrEqual" allowBlank="1" showErrorMessage="1" errorTitle="Mensagem de Erro" error="F não pode ser Superior a MF" sqref="G279">
      <formula1>F279</formula1>
    </dataValidation>
    <dataValidation type="whole" operator="lessThanOrEqual" allowBlank="1" showErrorMessage="1" errorTitle="Mensagem de Erro" error="F não pode ser Superior a MF" sqref="G28">
      <formula1>F28</formula1>
    </dataValidation>
    <dataValidation type="whole" operator="lessThanOrEqual" allowBlank="1" showErrorMessage="1" errorTitle="Mensagem de Erro" error="F não pode ser Superior a MF" sqref="G280">
      <formula1>F280</formula1>
    </dataValidation>
    <dataValidation type="whole" operator="lessThanOrEqual" allowBlank="1" showErrorMessage="1" errorTitle="Mensagem de Erro" error="F não pode ser Superior a MF" sqref="G281">
      <formula1>F281</formula1>
    </dataValidation>
    <dataValidation type="whole" operator="lessThanOrEqual" allowBlank="1" showErrorMessage="1" errorTitle="Mensagem de Erro" error="F não pode ser Superior a MF" sqref="G282">
      <formula1>F282</formula1>
    </dataValidation>
    <dataValidation type="whole" operator="lessThanOrEqual" allowBlank="1" showErrorMessage="1" errorTitle="Mensagem de Erro" error="F não pode ser Superior a MF" sqref="G283">
      <formula1>F283</formula1>
    </dataValidation>
    <dataValidation type="whole" operator="lessThanOrEqual" allowBlank="1" showErrorMessage="1" errorTitle="Mensagem de Erro" error="F não pode ser Superior a MF" sqref="G284">
      <formula1>F284</formula1>
    </dataValidation>
    <dataValidation type="whole" operator="lessThanOrEqual" allowBlank="1" showErrorMessage="1" errorTitle="Mensagem de Erro" error="F não pode ser Superior a MF" sqref="G285">
      <formula1>F285</formula1>
    </dataValidation>
    <dataValidation type="whole" operator="lessThanOrEqual" allowBlank="1" showErrorMessage="1" errorTitle="Mensagem de Erro" error="F não pode ser Superior a MF" sqref="G286">
      <formula1>F286</formula1>
    </dataValidation>
    <dataValidation type="whole" operator="lessThanOrEqual" allowBlank="1" showErrorMessage="1" errorTitle="Mensagem de Erro" error="F não pode ser Superior a MF" sqref="G287">
      <formula1>F287</formula1>
    </dataValidation>
    <dataValidation type="whole" operator="lessThanOrEqual" allowBlank="1" showErrorMessage="1" errorTitle="Mensagem de Erro" error="F não pode ser Superior a MF" sqref="G288">
      <formula1>F288</formula1>
    </dataValidation>
    <dataValidation type="whole" operator="lessThanOrEqual" allowBlank="1" showErrorMessage="1" errorTitle="Mensagem de Erro" error="F não pode ser Superior a MF" sqref="G289">
      <formula1>F289</formula1>
    </dataValidation>
    <dataValidation type="whole" operator="lessThanOrEqual" allowBlank="1" showErrorMessage="1" errorTitle="Mensagem de Erro" error="F não pode ser Superior a MF" sqref="G29">
      <formula1>F29</formula1>
    </dataValidation>
    <dataValidation type="whole" operator="lessThanOrEqual" allowBlank="1" showErrorMessage="1" errorTitle="Mensagem de Erro" error="F não pode ser Superior a MF" sqref="G290">
      <formula1>F290</formula1>
    </dataValidation>
    <dataValidation type="whole" operator="lessThanOrEqual" allowBlank="1" showErrorMessage="1" errorTitle="Mensagem de Erro" error="F não pode ser Superior a MF" sqref="G291">
      <formula1>F291</formula1>
    </dataValidation>
    <dataValidation type="whole" operator="lessThanOrEqual" allowBlank="1" showErrorMessage="1" errorTitle="Mensagem de Erro" error="F não pode ser Superior a MF" sqref="G292">
      <formula1>F292</formula1>
    </dataValidation>
    <dataValidation type="whole" operator="lessThanOrEqual" allowBlank="1" showErrorMessage="1" errorTitle="Mensagem de Erro" error="F não pode ser Superior a MF" sqref="G293">
      <formula1>F293</formula1>
    </dataValidation>
    <dataValidation type="whole" operator="lessThanOrEqual" allowBlank="1" showErrorMessage="1" errorTitle="Mensagem de Erro" error="F não pode ser Superior a MF" sqref="G294">
      <formula1>F294</formula1>
    </dataValidation>
    <dataValidation type="whole" operator="lessThanOrEqual" allowBlank="1" showErrorMessage="1" errorTitle="Mensagem de Erro" error="F não pode ser Superior a MF" sqref="G295">
      <formula1>F295</formula1>
    </dataValidation>
    <dataValidation type="whole" operator="lessThanOrEqual" allowBlank="1" showErrorMessage="1" errorTitle="Mensagem de Erro" error="F não pode ser Superior a MF" sqref="G296">
      <formula1>F296</formula1>
    </dataValidation>
    <dataValidation type="whole" operator="lessThanOrEqual" allowBlank="1" showErrorMessage="1" errorTitle="Mensagem de Erro" error="F não pode ser Superior a MF" sqref="G297">
      <formula1>F297</formula1>
    </dataValidation>
    <dataValidation type="whole" operator="lessThanOrEqual" allowBlank="1" showErrorMessage="1" errorTitle="Mensagem de Erro" error="F não pode ser Superior a MF" sqref="G298">
      <formula1>F298</formula1>
    </dataValidation>
    <dataValidation type="whole" operator="lessThanOrEqual" allowBlank="1" showErrorMessage="1" errorTitle="Mensagem de Erro" error="F não pode ser Superior a MF" sqref="G299">
      <formula1>F299</formula1>
    </dataValidation>
    <dataValidation type="whole" operator="lessThanOrEqual" allowBlank="1" showErrorMessage="1" errorTitle="Mensagem de Erro" error="F não pode ser Superior a MF" sqref="G30">
      <formula1>F30</formula1>
    </dataValidation>
    <dataValidation type="whole" operator="lessThanOrEqual" allowBlank="1" showErrorMessage="1" errorTitle="Mensagem de Erro" error="F não pode ser Superior a MF" sqref="G300">
      <formula1>F300</formula1>
    </dataValidation>
    <dataValidation type="whole" operator="lessThanOrEqual" allowBlank="1" showErrorMessage="1" errorTitle="Mensagem de Erro" error="F não pode ser Superior a MF" sqref="G301">
      <formula1>F301</formula1>
    </dataValidation>
    <dataValidation type="whole" operator="lessThanOrEqual" allowBlank="1" showErrorMessage="1" errorTitle="Mensagem de Erro" error="F não pode ser Superior a MF" sqref="G302">
      <formula1>F302</formula1>
    </dataValidation>
    <dataValidation type="whole" operator="lessThanOrEqual" allowBlank="1" showErrorMessage="1" errorTitle="Mensagem de Erro" error="F não pode ser Superior a MF" sqref="G303">
      <formula1>F303</formula1>
    </dataValidation>
    <dataValidation type="whole" operator="lessThanOrEqual" allowBlank="1" showErrorMessage="1" errorTitle="Mensagem de Erro" error="F não pode ser Superior a MF" sqref="G304">
      <formula1>F304</formula1>
    </dataValidation>
    <dataValidation type="whole" operator="lessThanOrEqual" allowBlank="1" showErrorMessage="1" errorTitle="Mensagem de Erro" error="F não pode ser Superior a MF" sqref="G305">
      <formula1>F305</formula1>
    </dataValidation>
    <dataValidation type="whole" operator="lessThanOrEqual" allowBlank="1" showErrorMessage="1" errorTitle="Mensagem de Erro" error="F não pode ser Superior a MF" sqref="G306">
      <formula1>F306</formula1>
    </dataValidation>
    <dataValidation type="whole" operator="lessThanOrEqual" allowBlank="1" showErrorMessage="1" errorTitle="Mensagem de Erro" error="F não pode ser Superior a MF" sqref="G307">
      <formula1>F307</formula1>
    </dataValidation>
    <dataValidation type="whole" operator="lessThanOrEqual" allowBlank="1" showErrorMessage="1" errorTitle="Mensagem de Erro" error="F não pode ser Superior a MF" sqref="G308">
      <formula1>F308</formula1>
    </dataValidation>
    <dataValidation type="whole" operator="lessThanOrEqual" allowBlank="1" showErrorMessage="1" errorTitle="Mensagem de Erro" error="F não pode ser Superior a MF" sqref="G309">
      <formula1>F309</formula1>
    </dataValidation>
    <dataValidation type="whole" operator="lessThanOrEqual" allowBlank="1" showErrorMessage="1" errorTitle="Mensagem de Erro" error="F não pode ser Superior a MF" sqref="G31">
      <formula1>F31</formula1>
    </dataValidation>
    <dataValidation type="whole" operator="lessThanOrEqual" allowBlank="1" showErrorMessage="1" errorTitle="Mensagem de Erro" error="F não pode ser Superior a MF" sqref="G310">
      <formula1>F310</formula1>
    </dataValidation>
    <dataValidation type="whole" operator="lessThanOrEqual" allowBlank="1" showErrorMessage="1" errorTitle="Mensagem de Erro" error="F não pode ser Superior a MF" sqref="G311">
      <formula1>F311</formula1>
    </dataValidation>
    <dataValidation type="whole" operator="lessThanOrEqual" allowBlank="1" showErrorMessage="1" errorTitle="Mensagem de Erro" error="F não pode ser Superior a MF" sqref="G312">
      <formula1>F312</formula1>
    </dataValidation>
    <dataValidation type="whole" operator="lessThanOrEqual" allowBlank="1" showErrorMessage="1" errorTitle="Mensagem de Erro" error="F não pode ser Superior a MF" sqref="G313">
      <formula1>F313</formula1>
    </dataValidation>
    <dataValidation type="whole" operator="lessThanOrEqual" allowBlank="1" showErrorMessage="1" errorTitle="Mensagem de Erro" error="F não pode ser Superior a MF" sqref="G314">
      <formula1>F314</formula1>
    </dataValidation>
    <dataValidation type="whole" operator="lessThanOrEqual" allowBlank="1" showErrorMessage="1" errorTitle="Mensagem de Erro" error="F não pode ser Superior a MF" sqref="G315">
      <formula1>F315</formula1>
    </dataValidation>
    <dataValidation type="whole" operator="lessThanOrEqual" allowBlank="1" showErrorMessage="1" errorTitle="Mensagem de Erro" error="F não pode ser Superior a MF" sqref="G316">
      <formula1>F316</formula1>
    </dataValidation>
    <dataValidation type="whole" operator="lessThanOrEqual" allowBlank="1" showErrorMessage="1" errorTitle="Mensagem de Erro" error="F não pode ser Superior a MF" sqref="G317">
      <formula1>F317</formula1>
    </dataValidation>
    <dataValidation type="whole" operator="lessThanOrEqual" allowBlank="1" showErrorMessage="1" errorTitle="Mensagem de Erro" error="F não pode ser Superior a MF" sqref="G318">
      <formula1>F318</formula1>
    </dataValidation>
    <dataValidation type="whole" operator="lessThanOrEqual" allowBlank="1" showErrorMessage="1" errorTitle="Mensagem de Erro" error="F não pode ser Superior a MF" sqref="G319">
      <formula1>F319</formula1>
    </dataValidation>
    <dataValidation type="whole" operator="lessThanOrEqual" allowBlank="1" showErrorMessage="1" errorTitle="Mensagem de Erro" error="F não pode ser Superior a MF" sqref="G32">
      <formula1>F32</formula1>
    </dataValidation>
    <dataValidation type="whole" operator="lessThanOrEqual" allowBlank="1" showErrorMessage="1" errorTitle="Mensagem de Erro" error="F não pode ser Superior a MF" sqref="G320">
      <formula1>F320</formula1>
    </dataValidation>
    <dataValidation type="whole" operator="lessThanOrEqual" allowBlank="1" showErrorMessage="1" errorTitle="Mensagem de Erro" error="F não pode ser Superior a MF" sqref="G321">
      <formula1>F321</formula1>
    </dataValidation>
    <dataValidation type="whole" operator="lessThanOrEqual" allowBlank="1" showErrorMessage="1" errorTitle="Mensagem de Erro" error="F não pode ser Superior a MF" sqref="G322">
      <formula1>F322</formula1>
    </dataValidation>
    <dataValidation type="whole" operator="lessThanOrEqual" allowBlank="1" showErrorMessage="1" errorTitle="Mensagem de Erro" error="F não pode ser Superior a MF" sqref="G323">
      <formula1>F323</formula1>
    </dataValidation>
    <dataValidation type="whole" operator="lessThanOrEqual" allowBlank="1" showErrorMessage="1" errorTitle="Mensagem de Erro" error="F não pode ser Superior a MF" sqref="G324">
      <formula1>F324</formula1>
    </dataValidation>
    <dataValidation type="whole" operator="lessThanOrEqual" allowBlank="1" showErrorMessage="1" errorTitle="Mensagem de Erro" error="F não pode ser Superior a MF" sqref="G325">
      <formula1>F325</formula1>
    </dataValidation>
    <dataValidation type="whole" operator="lessThanOrEqual" allowBlank="1" showErrorMessage="1" errorTitle="Mensagem de Erro" error="F não pode ser Superior a MF" sqref="G326">
      <formula1>F326</formula1>
    </dataValidation>
    <dataValidation type="whole" operator="lessThanOrEqual" allowBlank="1" showErrorMessage="1" errorTitle="Mensagem de Erro" error="F não pode ser Superior a MF" sqref="G329">
      <formula1>F329</formula1>
    </dataValidation>
    <dataValidation type="whole" operator="lessThanOrEqual" allowBlank="1" showErrorMessage="1" errorTitle="Mensagem de Erro" error="F não pode ser Superior a MF" sqref="G33">
      <formula1>F33</formula1>
    </dataValidation>
    <dataValidation type="whole" operator="lessThanOrEqual" allowBlank="1" showErrorMessage="1" errorTitle="Mensagem de Erro" error="F não pode ser Superior a MF" sqref="G330">
      <formula1>F330</formula1>
    </dataValidation>
    <dataValidation type="whole" operator="lessThanOrEqual" allowBlank="1" showErrorMessage="1" errorTitle="Mensagem de Erro" error="F não pode ser Superior a MF" sqref="G331">
      <formula1>F331</formula1>
    </dataValidation>
    <dataValidation type="whole" operator="lessThanOrEqual" allowBlank="1" showErrorMessage="1" errorTitle="Mensagem de Erro" error="F não pode ser Superior a MF" sqref="G332">
      <formula1>F332</formula1>
    </dataValidation>
    <dataValidation type="whole" operator="lessThanOrEqual" allowBlank="1" showErrorMessage="1" errorTitle="Mensagem de Erro" error="F não pode ser Superior a MF" sqref="G333">
      <formula1>F333</formula1>
    </dataValidation>
    <dataValidation type="whole" operator="lessThanOrEqual" allowBlank="1" showErrorMessage="1" errorTitle="Mensagem de Erro" error="F não pode ser Superior a MF" sqref="G334">
      <formula1>F334</formula1>
    </dataValidation>
    <dataValidation type="whole" operator="lessThanOrEqual" allowBlank="1" showErrorMessage="1" errorTitle="Mensagem de Erro" error="F não pode ser Superior a MF" sqref="G335">
      <formula1>F335</formula1>
    </dataValidation>
    <dataValidation type="whole" operator="lessThanOrEqual" allowBlank="1" showErrorMessage="1" errorTitle="Mensagem de Erro" error="F não pode ser Superior a MF" sqref="G336">
      <formula1>F336</formula1>
    </dataValidation>
    <dataValidation type="whole" operator="lessThanOrEqual" allowBlank="1" showErrorMessage="1" errorTitle="Mensagem de Erro" error="F não pode ser Superior a MF" sqref="G337">
      <formula1>F337</formula1>
    </dataValidation>
    <dataValidation type="whole" operator="lessThanOrEqual" allowBlank="1" showErrorMessage="1" errorTitle="Mensagem de Erro" error="F não pode ser Superior a MF" sqref="G338">
      <formula1>F338</formula1>
    </dataValidation>
    <dataValidation type="whole" operator="lessThanOrEqual" allowBlank="1" showErrorMessage="1" errorTitle="Mensagem de Erro" error="F não pode ser Superior a MF" sqref="G339">
      <formula1>F339</formula1>
    </dataValidation>
    <dataValidation type="whole" operator="lessThanOrEqual" allowBlank="1" showErrorMessage="1" errorTitle="Mensagem de Erro" error="F não pode ser Superior a MF" sqref="G34">
      <formula1>F34</formula1>
    </dataValidation>
    <dataValidation type="whole" operator="lessThanOrEqual" allowBlank="1" showErrorMessage="1" errorTitle="Mensagem de Erro" error="F não pode ser Superior a MF" sqref="G340">
      <formula1>F340</formula1>
    </dataValidation>
    <dataValidation type="whole" operator="lessThanOrEqual" allowBlank="1" showErrorMessage="1" errorTitle="Mensagem de Erro" error="F não pode ser Superior a MF" sqref="G341">
      <formula1>F341</formula1>
    </dataValidation>
    <dataValidation type="whole" operator="lessThanOrEqual" allowBlank="1" showErrorMessage="1" errorTitle="Mensagem de Erro" error="F não pode ser Superior a MF" sqref="G342">
      <formula1>F342</formula1>
    </dataValidation>
    <dataValidation type="whole" operator="lessThanOrEqual" allowBlank="1" showErrorMessage="1" errorTitle="Mensagem de Erro" error="F não pode ser Superior a MF" sqref="G343">
      <formula1>F343</formula1>
    </dataValidation>
    <dataValidation type="whole" operator="lessThanOrEqual" allowBlank="1" showErrorMessage="1" errorTitle="Mensagem de Erro" error="F não pode ser Superior a MF" sqref="G344">
      <formula1>F344</formula1>
    </dataValidation>
    <dataValidation type="whole" operator="lessThanOrEqual" allowBlank="1" showErrorMessage="1" errorTitle="Mensagem de Erro" error="F não pode ser Superior a MF" sqref="G345">
      <formula1>F345</formula1>
    </dataValidation>
    <dataValidation type="whole" operator="lessThanOrEqual" allowBlank="1" showErrorMessage="1" errorTitle="Mensagem de Erro" error="F não pode ser Superior a MF" sqref="G346">
      <formula1>F346</formula1>
    </dataValidation>
    <dataValidation type="whole" operator="lessThanOrEqual" allowBlank="1" showErrorMessage="1" errorTitle="Mensagem de Erro" error="F não pode ser Superior a MF" sqref="G347">
      <formula1>F347</formula1>
    </dataValidation>
    <dataValidation type="whole" operator="lessThanOrEqual" allowBlank="1" showErrorMessage="1" errorTitle="Mensagem de Erro" error="F não pode ser Superior a MF" sqref="G348">
      <formula1>F348</formula1>
    </dataValidation>
    <dataValidation type="whole" operator="lessThanOrEqual" allowBlank="1" showErrorMessage="1" errorTitle="Mensagem de Erro" error="F não pode ser Superior a MF" sqref="G349">
      <formula1>F349</formula1>
    </dataValidation>
    <dataValidation type="whole" operator="lessThanOrEqual" allowBlank="1" showErrorMessage="1" errorTitle="Mensagem de Erro" error="F não pode ser Superior a MF" sqref="G35">
      <formula1>F35</formula1>
    </dataValidation>
    <dataValidation type="whole" operator="lessThanOrEqual" allowBlank="1" showErrorMessage="1" errorTitle="Mensagem de Erro" error="F não pode ser Superior a MF" sqref="G350">
      <formula1>F350</formula1>
    </dataValidation>
    <dataValidation type="whole" operator="lessThanOrEqual" allowBlank="1" showErrorMessage="1" errorTitle="Mensagem de Erro" error="F não pode ser Superior a MF" sqref="G353">
      <formula1>F353</formula1>
    </dataValidation>
    <dataValidation type="whole" operator="lessThanOrEqual" allowBlank="1" showErrorMessage="1" errorTitle="Mensagem de Erro" error="F não pode ser Superior a MF" sqref="G354">
      <formula1>F354</formula1>
    </dataValidation>
    <dataValidation type="whole" operator="lessThanOrEqual" allowBlank="1" showErrorMessage="1" errorTitle="Mensagem de Erro" error="F não pode ser Superior a MF" sqref="G355">
      <formula1>F355</formula1>
    </dataValidation>
    <dataValidation type="whole" operator="lessThanOrEqual" allowBlank="1" showErrorMessage="1" errorTitle="Mensagem de Erro" error="F não pode ser Superior a MF" sqref="G356">
      <formula1>F356</formula1>
    </dataValidation>
    <dataValidation type="whole" operator="lessThanOrEqual" allowBlank="1" showErrorMessage="1" errorTitle="Mensagem de Erro" error="F não pode ser Superior a MF" sqref="G357">
      <formula1>F357</formula1>
    </dataValidation>
    <dataValidation type="whole" operator="lessThanOrEqual" allowBlank="1" showErrorMessage="1" errorTitle="Mensagem de Erro" error="F não pode ser Superior a MF" sqref="G358">
      <formula1>F358</formula1>
    </dataValidation>
    <dataValidation type="whole" operator="lessThanOrEqual" allowBlank="1" showErrorMessage="1" errorTitle="Mensagem de Erro" error="F não pode ser Superior a MF" sqref="G359">
      <formula1>F359</formula1>
    </dataValidation>
    <dataValidation type="whole" operator="lessThanOrEqual" allowBlank="1" showErrorMessage="1" errorTitle="Mensagem de Erro" error="F não pode ser Superior a MF" sqref="G36">
      <formula1>F36</formula1>
    </dataValidation>
    <dataValidation type="whole" operator="lessThanOrEqual" allowBlank="1" showErrorMessage="1" errorTitle="Mensagem de Erro" error="F não pode ser Superior a MF" sqref="G360">
      <formula1>F360</formula1>
    </dataValidation>
    <dataValidation type="whole" operator="lessThanOrEqual" allowBlank="1" showErrorMessage="1" errorTitle="Mensagem de Erro" error="F não pode ser Superior a MF" sqref="G361">
      <formula1>F361</formula1>
    </dataValidation>
    <dataValidation type="whole" operator="lessThanOrEqual" allowBlank="1" showErrorMessage="1" errorTitle="Mensagem de Erro" error="F não pode ser Superior a MF" sqref="G362">
      <formula1>F362</formula1>
    </dataValidation>
    <dataValidation type="whole" operator="lessThanOrEqual" allowBlank="1" showErrorMessage="1" errorTitle="Mensagem de Erro" error="F não pode ser Superior a MF" sqref="G363">
      <formula1>F363</formula1>
    </dataValidation>
    <dataValidation type="whole" operator="lessThanOrEqual" allowBlank="1" showErrorMessage="1" errorTitle="Mensagem de Erro" error="F não pode ser Superior a MF" sqref="G364">
      <formula1>F364</formula1>
    </dataValidation>
    <dataValidation type="whole" operator="lessThanOrEqual" allowBlank="1" showErrorMessage="1" errorTitle="Mensagem de Erro" error="F não pode ser Superior a MF" sqref="G365">
      <formula1>F365</formula1>
    </dataValidation>
    <dataValidation type="whole" operator="lessThanOrEqual" allowBlank="1" showErrorMessage="1" errorTitle="Mensagem de Erro" error="F não pode ser Superior a MF" sqref="G366">
      <formula1>F366</formula1>
    </dataValidation>
    <dataValidation type="whole" operator="lessThanOrEqual" allowBlank="1" showErrorMessage="1" errorTitle="Mensagem de Erro" error="F não pode ser Superior a MF" sqref="G367">
      <formula1>F367</formula1>
    </dataValidation>
    <dataValidation type="whole" operator="lessThanOrEqual" allowBlank="1" showErrorMessage="1" errorTitle="Mensagem de Erro" error="F não pode ser Superior a MF" sqref="G368">
      <formula1>F368</formula1>
    </dataValidation>
    <dataValidation type="whole" operator="lessThanOrEqual" allowBlank="1" showErrorMessage="1" errorTitle="Mensagem de Erro" error="F não pode ser Superior a MF" sqref="G369">
      <formula1>F369</formula1>
    </dataValidation>
    <dataValidation type="whole" operator="lessThanOrEqual" allowBlank="1" showErrorMessage="1" errorTitle="Mensagem de Erro" error="F não pode ser Superior a MF" sqref="G37">
      <formula1>F37</formula1>
    </dataValidation>
    <dataValidation type="whole" operator="lessThanOrEqual" allowBlank="1" showErrorMessage="1" errorTitle="Mensagem de Erro" error="F não pode ser Superior a MF" sqref="G370">
      <formula1>F370</formula1>
    </dataValidation>
    <dataValidation type="whole" operator="lessThanOrEqual" allowBlank="1" showErrorMessage="1" errorTitle="Mensagem de Erro" error="F não pode ser Superior a MF" sqref="G38">
      <formula1>F38</formula1>
    </dataValidation>
    <dataValidation type="whole" operator="lessThanOrEqual" allowBlank="1" showErrorMessage="1" errorTitle="Mensagem de Erro" error="F não pode ser Superior a MF" sqref="G39">
      <formula1>F39</formula1>
    </dataValidation>
    <dataValidation type="whole" operator="lessThanOrEqual" allowBlank="1" showErrorMessage="1" errorTitle="Mensagem de Erro" error="F não pode ser Superior a MF" sqref="G40">
      <formula1>F40</formula1>
    </dataValidation>
    <dataValidation type="whole" operator="lessThanOrEqual" allowBlank="1" showErrorMessage="1" errorTitle="Mensagem de Erro" error="F não pode ser Superior a MF" sqref="G41">
      <formula1>F41</formula1>
    </dataValidation>
    <dataValidation type="whole" operator="lessThanOrEqual" allowBlank="1" showErrorMessage="1" errorTitle="Mensagem de Erro" error="F não pode ser Superior a MF" sqref="G42">
      <formula1>F42</formula1>
    </dataValidation>
    <dataValidation type="whole" operator="lessThanOrEqual" allowBlank="1" showErrorMessage="1" errorTitle="Mensagem de Erro" error="F não pode ser Superior a MF" sqref="G43">
      <formula1>F43</formula1>
    </dataValidation>
    <dataValidation type="whole" operator="lessThanOrEqual" allowBlank="1" showErrorMessage="1" errorTitle="Mensagem de Erro" error="F não pode ser Superior a MF" sqref="G44">
      <formula1>F44</formula1>
    </dataValidation>
    <dataValidation type="whole" operator="lessThanOrEqual" allowBlank="1" showErrorMessage="1" errorTitle="Mensagem de Erro" error="F não pode ser Superior a MF" sqref="G45">
      <formula1>F45</formula1>
    </dataValidation>
    <dataValidation type="whole" operator="lessThanOrEqual" allowBlank="1" showErrorMessage="1" errorTitle="Mensagem de Erro" error="F não pode ser Superior a MF" sqref="G46">
      <formula1>F46</formula1>
    </dataValidation>
    <dataValidation type="whole" operator="lessThanOrEqual" allowBlank="1" showErrorMessage="1" errorTitle="Mensagem de Erro" error="F não pode ser Superior a MF" sqref="G47">
      <formula1>F47</formula1>
    </dataValidation>
    <dataValidation type="whole" operator="lessThanOrEqual" allowBlank="1" showErrorMessage="1" errorTitle="Mensagem de Erro" error="F não pode ser Superior a MF" sqref="G48">
      <formula1>F48</formula1>
    </dataValidation>
    <dataValidation type="whole" operator="lessThanOrEqual" allowBlank="1" showErrorMessage="1" errorTitle="Mensagem de Erro" error="F não pode ser Superior a MF" sqref="G49">
      <formula1>F49</formula1>
    </dataValidation>
    <dataValidation type="whole" operator="lessThanOrEqual" allowBlank="1" showErrorMessage="1" errorTitle="Mensagem de Erro" error="F não pode ser Superior a MF" sqref="G50">
      <formula1>F50</formula1>
    </dataValidation>
    <dataValidation type="whole" operator="lessThanOrEqual" allowBlank="1" showErrorMessage="1" errorTitle="Mensagem de Erro" error="F não pode ser Superior a MF" sqref="G51">
      <formula1>F51</formula1>
    </dataValidation>
    <dataValidation type="whole" operator="lessThanOrEqual" allowBlank="1" showErrorMessage="1" errorTitle="Mensagem de Erro" error="F não pode ser Superior a MF" sqref="G52">
      <formula1>F52</formula1>
    </dataValidation>
    <dataValidation type="whole" operator="lessThanOrEqual" allowBlank="1" showErrorMessage="1" errorTitle="Mensagem de Erro" error="F não pode ser Superior a MF" sqref="G53">
      <formula1>F53</formula1>
    </dataValidation>
    <dataValidation type="whole" operator="lessThanOrEqual" allowBlank="1" showErrorMessage="1" errorTitle="Mensagem de Erro" error="F não pode ser Superior a MF" sqref="G54">
      <formula1>F54</formula1>
    </dataValidation>
    <dataValidation type="whole" operator="lessThanOrEqual" allowBlank="1" showErrorMessage="1" errorTitle="Mensagem de Erro" error="F não pode ser Superior a MF" sqref="G55">
      <formula1>F55</formula1>
    </dataValidation>
    <dataValidation type="whole" operator="lessThanOrEqual" allowBlank="1" showErrorMessage="1" errorTitle="Mensagem de Erro" error="F não pode ser Superior a MF" sqref="G56">
      <formula1>F56</formula1>
    </dataValidation>
    <dataValidation type="whole" operator="lessThanOrEqual" allowBlank="1" showErrorMessage="1" errorTitle="Mensagem de Erro" error="F não pode ser Superior a MF" sqref="G57">
      <formula1>F57</formula1>
    </dataValidation>
    <dataValidation type="whole" operator="lessThanOrEqual" allowBlank="1" showErrorMessage="1" errorTitle="Mensagem de Erro" error="F não pode ser Superior a MF" sqref="G58">
      <formula1>F58</formula1>
    </dataValidation>
    <dataValidation type="whole" operator="lessThanOrEqual" allowBlank="1" showErrorMessage="1" errorTitle="Mensagem de Erro" error="F não pode ser Superior a MF" sqref="G59">
      <formula1>F59</formula1>
    </dataValidation>
    <dataValidation type="whole" operator="lessThanOrEqual" allowBlank="1" showErrorMessage="1" errorTitle="Mensagem de Erro" error="F não pode ser Superior a MF" sqref="G60">
      <formula1>F60</formula1>
    </dataValidation>
    <dataValidation type="whole" operator="lessThanOrEqual" allowBlank="1" showErrorMessage="1" errorTitle="Mensagem de Erro" error="F não pode ser Superior a MF" sqref="G61">
      <formula1>F61</formula1>
    </dataValidation>
    <dataValidation type="whole" operator="lessThanOrEqual" allowBlank="1" showErrorMessage="1" errorTitle="Mensagem de Erro" error="F não pode ser Superior a MF" sqref="G62">
      <formula1>F62</formula1>
    </dataValidation>
    <dataValidation type="whole" operator="lessThanOrEqual" allowBlank="1" showErrorMessage="1" errorTitle="Mensagem de Erro" error="F não pode ser Superior a MF" sqref="G63">
      <formula1>F63</formula1>
    </dataValidation>
    <dataValidation type="whole" operator="lessThanOrEqual" allowBlank="1" showErrorMessage="1" errorTitle="Mensagem de Erro" error="F não pode ser Superior a MF" sqref="G64">
      <formula1>F64</formula1>
    </dataValidation>
    <dataValidation type="whole" operator="lessThanOrEqual" allowBlank="1" showErrorMessage="1" errorTitle="Mensagem de Erro" error="F não pode ser Superior a MF" sqref="G65">
      <formula1>F65</formula1>
    </dataValidation>
    <dataValidation type="whole" operator="lessThanOrEqual" allowBlank="1" showErrorMessage="1" errorTitle="Mensagem de Erro" error="F não pode ser Superior a MF" sqref="G66">
      <formula1>F66</formula1>
    </dataValidation>
    <dataValidation type="whole" operator="lessThanOrEqual" allowBlank="1" showErrorMessage="1" errorTitle="Mensagem de Erro" error="F não pode ser Superior a MF" sqref="G67">
      <formula1>F67</formula1>
    </dataValidation>
    <dataValidation type="whole" operator="lessThanOrEqual" allowBlank="1" showErrorMessage="1" errorTitle="Mensagem de Erro" error="F não pode ser Superior a MF" sqref="G68">
      <formula1>F68</formula1>
    </dataValidation>
    <dataValidation type="whole" operator="lessThanOrEqual" allowBlank="1" showErrorMessage="1" errorTitle="Mensagem de Erro" error="F não pode ser Superior a MF" sqref="G69">
      <formula1>F69</formula1>
    </dataValidation>
    <dataValidation type="whole" operator="lessThanOrEqual" allowBlank="1" showErrorMessage="1" errorTitle="Mensagem de Erro" error="F não pode ser Superior a MF" sqref="G7">
      <formula1>F7</formula1>
    </dataValidation>
    <dataValidation type="whole" operator="lessThanOrEqual" allowBlank="1" showErrorMessage="1" errorTitle="Mensagem de Erro" error="F não pode ser Superior a MF" sqref="G70">
      <formula1>F70</formula1>
    </dataValidation>
    <dataValidation type="whole" operator="lessThanOrEqual" allowBlank="1" showErrorMessage="1" errorTitle="Mensagem de Erro" error="F não pode ser Superior a MF" sqref="G71">
      <formula1>F71</formula1>
    </dataValidation>
    <dataValidation type="whole" operator="lessThanOrEqual" allowBlank="1" showErrorMessage="1" errorTitle="Mensagem de Erro" error="F não pode ser Superior a MF" sqref="G72">
      <formula1>F72</formula1>
    </dataValidation>
    <dataValidation type="whole" operator="lessThanOrEqual" allowBlank="1" showErrorMessage="1" errorTitle="Mensagem de Erro" error="F não pode ser Superior a MF" sqref="G73">
      <formula1>F73</formula1>
    </dataValidation>
    <dataValidation type="whole" operator="lessThanOrEqual" allowBlank="1" showErrorMessage="1" errorTitle="Mensagem de Erro" error="F não pode ser Superior a MF" sqref="G74">
      <formula1>F74</formula1>
    </dataValidation>
    <dataValidation type="whole" operator="lessThanOrEqual" allowBlank="1" showErrorMessage="1" errorTitle="Mensagem de Erro" error="F não pode ser Superior a MF" sqref="G75">
      <formula1>F75</formula1>
    </dataValidation>
    <dataValidation type="whole" operator="lessThanOrEqual" allowBlank="1" showErrorMessage="1" errorTitle="Mensagem de Erro" error="F não pode ser Superior a MF" sqref="G76">
      <formula1>F76</formula1>
    </dataValidation>
    <dataValidation type="whole" operator="lessThanOrEqual" allowBlank="1" showErrorMessage="1" errorTitle="Mensagem de Erro" error="F não pode ser Superior a MF" sqref="G77">
      <formula1>F77</formula1>
    </dataValidation>
    <dataValidation type="whole" operator="lessThanOrEqual" allowBlank="1" showErrorMessage="1" errorTitle="Mensagem de Erro" error="F não pode ser Superior a MF" sqref="G78">
      <formula1>F78</formula1>
    </dataValidation>
    <dataValidation type="whole" operator="lessThanOrEqual" allowBlank="1" showErrorMessage="1" errorTitle="Mensagem de Erro" error="F não pode ser Superior a MF" sqref="G79">
      <formula1>F79</formula1>
    </dataValidation>
    <dataValidation type="whole" operator="lessThanOrEqual" allowBlank="1" showErrorMessage="1" errorTitle="Mensagem de Erro" error="F não pode ser Superior a MF" sqref="G8">
      <formula1>F8</formula1>
    </dataValidation>
    <dataValidation type="whole" operator="lessThanOrEqual" allowBlank="1" showErrorMessage="1" errorTitle="Mensagem de Erro" error="F não pode ser Superior a MF" sqref="G80">
      <formula1>F80</formula1>
    </dataValidation>
    <dataValidation type="whole" operator="lessThanOrEqual" allowBlank="1" showErrorMessage="1" errorTitle="Mensagem de Erro" error="F não pode ser Superior a MF" sqref="G81">
      <formula1>F81</formula1>
    </dataValidation>
    <dataValidation type="whole" operator="lessThanOrEqual" allowBlank="1" showErrorMessage="1" errorTitle="Mensagem de Erro" error="F não pode ser Superior a MF" sqref="G82">
      <formula1>F82</formula1>
    </dataValidation>
    <dataValidation type="whole" operator="lessThanOrEqual" allowBlank="1" showErrorMessage="1" errorTitle="Mensagem de Erro" error="F não pode ser Superior a MF" sqref="G83">
      <formula1>F83</formula1>
    </dataValidation>
    <dataValidation type="whole" operator="lessThanOrEqual" allowBlank="1" showErrorMessage="1" errorTitle="Mensagem de Erro" error="F não pode ser Superior a MF" sqref="G84">
      <formula1>F84</formula1>
    </dataValidation>
    <dataValidation type="whole" operator="lessThanOrEqual" allowBlank="1" showErrorMessage="1" errorTitle="Mensagem de Erro" error="F não pode ser Superior a MF" sqref="G85">
      <formula1>F85</formula1>
    </dataValidation>
    <dataValidation type="whole" operator="lessThanOrEqual" allowBlank="1" showErrorMessage="1" errorTitle="Mensagem de Erro" error="F não pode ser Superior a MF" sqref="G86">
      <formula1>F86</formula1>
    </dataValidation>
    <dataValidation type="whole" operator="lessThanOrEqual" allowBlank="1" showErrorMessage="1" errorTitle="Mensagem de Erro" error="F não pode ser Superior a MF" sqref="G87">
      <formula1>F87</formula1>
    </dataValidation>
    <dataValidation type="whole" operator="lessThanOrEqual" allowBlank="1" showErrorMessage="1" errorTitle="Mensagem de Erro" error="F não pode ser Superior a MF" sqref="G88">
      <formula1>F88</formula1>
    </dataValidation>
    <dataValidation type="whole" operator="lessThanOrEqual" allowBlank="1" showErrorMessage="1" errorTitle="Mensagem de Erro" error="F não pode ser Superior a MF" sqref="G89">
      <formula1>F89</formula1>
    </dataValidation>
    <dataValidation type="whole" operator="lessThanOrEqual" allowBlank="1" showErrorMessage="1" errorTitle="Mensagem de Erro" error="F não pode ser Superior a MF" sqref="G9">
      <formula1>F9</formula1>
    </dataValidation>
    <dataValidation type="whole" operator="lessThanOrEqual" allowBlank="1" showErrorMessage="1" errorTitle="Mensagem de Erro" error="F não pode ser Superior a MF" sqref="G90">
      <formula1>F90</formula1>
    </dataValidation>
    <dataValidation type="whole" operator="lessThanOrEqual" allowBlank="1" showErrorMessage="1" errorTitle="Mensagem de Erro" error="F não pode ser Superior a MF" sqref="G91">
      <formula1>F91</formula1>
    </dataValidation>
    <dataValidation type="whole" operator="lessThanOrEqual" allowBlank="1" showErrorMessage="1" errorTitle="Mensagem de Erro" error="F não pode ser Superior a MF" sqref="G92">
      <formula1>F92</formula1>
    </dataValidation>
    <dataValidation type="whole" operator="lessThanOrEqual" allowBlank="1" showErrorMessage="1" errorTitle="Mensagem de Erro" error="F não pode ser Superior a MF" sqref="G93">
      <formula1>F93</formula1>
    </dataValidation>
    <dataValidation type="whole" operator="lessThanOrEqual" allowBlank="1" showErrorMessage="1" errorTitle="Mensagem de Erro" error="F não pode ser Superior a MF" sqref="G94">
      <formula1>F94</formula1>
    </dataValidation>
    <dataValidation type="whole" operator="lessThanOrEqual" allowBlank="1" showErrorMessage="1" errorTitle="Mensagem de Erro" error="F não pode ser Superior a MF" sqref="G95">
      <formula1>F95</formula1>
    </dataValidation>
    <dataValidation type="whole" operator="lessThanOrEqual" allowBlank="1" showErrorMessage="1" errorTitle="Mensagem de Erro" error="F não pode ser Superior a MF" sqref="G96">
      <formula1>F96</formula1>
    </dataValidation>
    <dataValidation type="whole" operator="lessThanOrEqual" allowBlank="1" showErrorMessage="1" errorTitle="Mensagem de Erro" error="F não pode ser Superior a MF" sqref="G97">
      <formula1>F97</formula1>
    </dataValidation>
    <dataValidation type="whole" operator="lessThanOrEqual" allowBlank="1" showErrorMessage="1" errorTitle="Mensagem de Erro" error="F não pode ser Superior a MF" sqref="G98">
      <formula1>F98</formula1>
    </dataValidation>
    <dataValidation type="whole" operator="lessThanOrEqual" allowBlank="1" showErrorMessage="1" errorTitle="Mensagem de Erro" error="F não pode ser Superior a MF" sqref="G99">
      <formula1>F99</formula1>
    </dataValidation>
    <dataValidation type="whole" operator="lessThanOrEqual" allowBlank="1" showErrorMessage="1" errorTitle="Mensagem de Erro" error="F não pode ser Superior a MF" sqref="I10">
      <formula1>H10</formula1>
    </dataValidation>
    <dataValidation type="whole" operator="lessThanOrEqual" allowBlank="1" showErrorMessage="1" errorTitle="Mensagem de Erro" error="F não pode ser Superior a MF" sqref="I100">
      <formula1>H100</formula1>
    </dataValidation>
    <dataValidation type="whole" operator="lessThanOrEqual" allowBlank="1" showErrorMessage="1" errorTitle="Mensagem de Erro" error="F não pode ser Superior a MF" sqref="I101">
      <formula1>H101</formula1>
    </dataValidation>
    <dataValidation type="whole" operator="lessThanOrEqual" allowBlank="1" showErrorMessage="1" errorTitle="Mensagem de Erro" error="F não pode ser Superior a MF" sqref="I102">
      <formula1>H102</formula1>
    </dataValidation>
    <dataValidation type="whole" operator="lessThanOrEqual" allowBlank="1" showErrorMessage="1" errorTitle="Mensagem de Erro" error="F não pode ser Superior a MF" sqref="I103">
      <formula1>H103</formula1>
    </dataValidation>
    <dataValidation type="whole" operator="lessThanOrEqual" allowBlank="1" showErrorMessage="1" errorTitle="Mensagem de Erro" error="F não pode ser Superior a MF" sqref="I104">
      <formula1>H104</formula1>
    </dataValidation>
    <dataValidation type="whole" operator="lessThanOrEqual" allowBlank="1" showErrorMessage="1" errorTitle="Mensagem de Erro" error="F não pode ser Superior a MF" sqref="I105">
      <formula1>H105</formula1>
    </dataValidation>
    <dataValidation type="whole" operator="lessThanOrEqual" allowBlank="1" showErrorMessage="1" errorTitle="Mensagem de Erro" error="F não pode ser Superior a MF" sqref="I106">
      <formula1>H106</formula1>
    </dataValidation>
    <dataValidation type="whole" operator="lessThanOrEqual" allowBlank="1" showErrorMessage="1" errorTitle="Mensagem de Erro" error="F não pode ser Superior a MF" sqref="I107">
      <formula1>H107</formula1>
    </dataValidation>
    <dataValidation type="whole" operator="lessThanOrEqual" allowBlank="1" showErrorMessage="1" errorTitle="Mensagem de Erro" error="F não pode ser Superior a MF" sqref="I108">
      <formula1>H108</formula1>
    </dataValidation>
    <dataValidation type="whole" operator="lessThanOrEqual" allowBlank="1" showErrorMessage="1" errorTitle="Mensagem de Erro" error="F não pode ser Superior a MF" sqref="I109">
      <formula1>H109</formula1>
    </dataValidation>
    <dataValidation type="whole" operator="lessThanOrEqual" allowBlank="1" showErrorMessage="1" errorTitle="Mensagem de Erro" error="F não pode ser Superior a MF" sqref="I11">
      <formula1>H11</formula1>
    </dataValidation>
    <dataValidation type="whole" operator="lessThanOrEqual" allowBlank="1" showErrorMessage="1" errorTitle="Mensagem de Erro" error="F não pode ser Superior a MF" sqref="I110">
      <formula1>H110</formula1>
    </dataValidation>
    <dataValidation type="whole" operator="lessThanOrEqual" allowBlank="1" showErrorMessage="1" errorTitle="Mensagem de Erro" error="F não pode ser Superior a MF" sqref="I111">
      <formula1>H111</formula1>
    </dataValidation>
    <dataValidation type="whole" operator="lessThanOrEqual" allowBlank="1" showErrorMessage="1" errorTitle="Mensagem de Erro" error="F não pode ser Superior a MF" sqref="I112">
      <formula1>H112</formula1>
    </dataValidation>
    <dataValidation type="whole" operator="lessThanOrEqual" allowBlank="1" showErrorMessage="1" errorTitle="Mensagem de Erro" error="F não pode ser Superior a MF" sqref="I113">
      <formula1>H113</formula1>
    </dataValidation>
    <dataValidation type="whole" operator="lessThanOrEqual" allowBlank="1" showErrorMessage="1" errorTitle="Mensagem de Erro" error="F não pode ser Superior a MF" sqref="I114">
      <formula1>H114</formula1>
    </dataValidation>
    <dataValidation type="whole" operator="lessThanOrEqual" allowBlank="1" showErrorMessage="1" errorTitle="Mensagem de Erro" error="F não pode ser Superior a MF" sqref="I115">
      <formula1>H115</formula1>
    </dataValidation>
    <dataValidation type="whole" operator="lessThanOrEqual" allowBlank="1" showErrorMessage="1" errorTitle="Mensagem de Erro" error="F não pode ser Superior a MF" sqref="I116">
      <formula1>H116</formula1>
    </dataValidation>
    <dataValidation type="whole" operator="lessThanOrEqual" allowBlank="1" showErrorMessage="1" errorTitle="Mensagem de Erro" error="F não pode ser Superior a MF" sqref="I117">
      <formula1>H117</formula1>
    </dataValidation>
    <dataValidation type="whole" operator="lessThanOrEqual" allowBlank="1" showErrorMessage="1" errorTitle="Mensagem de Erro" error="F não pode ser Superior a MF" sqref="I118">
      <formula1>H118</formula1>
    </dataValidation>
    <dataValidation type="whole" operator="lessThanOrEqual" allowBlank="1" showErrorMessage="1" errorTitle="Mensagem de Erro" error="F não pode ser Superior a MF" sqref="I119">
      <formula1>H119</formula1>
    </dataValidation>
    <dataValidation type="whole" operator="lessThanOrEqual" allowBlank="1" showErrorMessage="1" errorTitle="Mensagem de Erro" error="F não pode ser Superior a MF" sqref="I12">
      <formula1>H12</formula1>
    </dataValidation>
    <dataValidation type="whole" operator="lessThanOrEqual" allowBlank="1" showErrorMessage="1" errorTitle="Mensagem de Erro" error="F não pode ser Superior a MF" sqref="I120">
      <formula1>H120</formula1>
    </dataValidation>
    <dataValidation type="whole" operator="lessThanOrEqual" allowBlank="1" showErrorMessage="1" errorTitle="Mensagem de Erro" error="F não pode ser Superior a MF" sqref="I121">
      <formula1>H121</formula1>
    </dataValidation>
    <dataValidation type="whole" operator="lessThanOrEqual" allowBlank="1" showErrorMessage="1" errorTitle="Mensagem de Erro" error="F não pode ser Superior a MF" sqref="I122">
      <formula1>H122</formula1>
    </dataValidation>
    <dataValidation type="whole" operator="lessThanOrEqual" allowBlank="1" showErrorMessage="1" errorTitle="Mensagem de Erro" error="F não pode ser Superior a MF" sqref="I123">
      <formula1>H123</formula1>
    </dataValidation>
    <dataValidation type="whole" operator="lessThanOrEqual" allowBlank="1" showErrorMessage="1" errorTitle="Mensagem de Erro" error="F não pode ser Superior a MF" sqref="I124">
      <formula1>H124</formula1>
    </dataValidation>
    <dataValidation type="whole" operator="lessThanOrEqual" allowBlank="1" showErrorMessage="1" errorTitle="Mensagem de Erro" error="F não pode ser Superior a MF" sqref="I125">
      <formula1>H125</formula1>
    </dataValidation>
    <dataValidation type="whole" operator="lessThanOrEqual" allowBlank="1" showErrorMessage="1" errorTitle="Mensagem de Erro" error="F não pode ser Superior a MF" sqref="I126">
      <formula1>H126</formula1>
    </dataValidation>
    <dataValidation type="whole" operator="lessThanOrEqual" allowBlank="1" showErrorMessage="1" errorTitle="Mensagem de Erro" error="F não pode ser Superior a MF" sqref="I127">
      <formula1>H127</formula1>
    </dataValidation>
    <dataValidation type="whole" operator="lessThanOrEqual" allowBlank="1" showErrorMessage="1" errorTitle="Mensagem de Erro" error="F não pode ser Superior a MF" sqref="I128">
      <formula1>H128</formula1>
    </dataValidation>
    <dataValidation type="whole" operator="lessThanOrEqual" allowBlank="1" showErrorMessage="1" errorTitle="Mensagem de Erro" error="F não pode ser Superior a MF" sqref="I129">
      <formula1>H129</formula1>
    </dataValidation>
    <dataValidation type="whole" operator="lessThanOrEqual" allowBlank="1" showErrorMessage="1" errorTitle="Mensagem de Erro" error="F não pode ser Superior a MF" sqref="I13">
      <formula1>H13</formula1>
    </dataValidation>
    <dataValidation type="whole" operator="lessThanOrEqual" allowBlank="1" showErrorMessage="1" errorTitle="Mensagem de Erro" error="F não pode ser Superior a MF" sqref="I130">
      <formula1>H130</formula1>
    </dataValidation>
    <dataValidation type="whole" operator="lessThanOrEqual" allowBlank="1" showErrorMessage="1" errorTitle="Mensagem de Erro" error="F não pode ser Superior a MF" sqref="I131">
      <formula1>H131</formula1>
    </dataValidation>
    <dataValidation type="whole" operator="lessThanOrEqual" allowBlank="1" showErrorMessage="1" errorTitle="Mensagem de Erro" error="F não pode ser Superior a MF" sqref="I132">
      <formula1>H132</formula1>
    </dataValidation>
    <dataValidation type="whole" operator="lessThanOrEqual" allowBlank="1" showErrorMessage="1" errorTitle="Mensagem de Erro" error="F não pode ser Superior a MF" sqref="I133">
      <formula1>H133</formula1>
    </dataValidation>
    <dataValidation type="whole" operator="lessThanOrEqual" allowBlank="1" showErrorMessage="1" errorTitle="Mensagem de Erro" error="F não pode ser Superior a MF" sqref="I134">
      <formula1>H134</formula1>
    </dataValidation>
    <dataValidation type="whole" operator="lessThanOrEqual" allowBlank="1" showErrorMessage="1" errorTitle="Mensagem de Erro" error="F não pode ser Superior a MF" sqref="I135">
      <formula1>H135</formula1>
    </dataValidation>
    <dataValidation type="whole" operator="lessThanOrEqual" allowBlank="1" showErrorMessage="1" errorTitle="Mensagem de Erro" error="F não pode ser Superior a MF" sqref="I136">
      <formula1>H136</formula1>
    </dataValidation>
    <dataValidation type="whole" operator="lessThanOrEqual" allowBlank="1" showErrorMessage="1" errorTitle="Mensagem de Erro" error="F não pode ser Superior a MF" sqref="I137">
      <formula1>H137</formula1>
    </dataValidation>
    <dataValidation type="whole" operator="lessThanOrEqual" allowBlank="1" showErrorMessage="1" errorTitle="Mensagem de Erro" error="F não pode ser Superior a MF" sqref="I138">
      <formula1>H138</formula1>
    </dataValidation>
    <dataValidation type="whole" operator="lessThanOrEqual" allowBlank="1" showErrorMessage="1" errorTitle="Mensagem de Erro" error="F não pode ser Superior a MF" sqref="I139">
      <formula1>H139</formula1>
    </dataValidation>
    <dataValidation type="whole" operator="lessThanOrEqual" allowBlank="1" showErrorMessage="1" errorTitle="Mensagem de Erro" error="F não pode ser Superior a MF" sqref="I14">
      <formula1>H14</formula1>
    </dataValidation>
    <dataValidation type="whole" operator="lessThanOrEqual" allowBlank="1" showErrorMessage="1" errorTitle="Mensagem de Erro" error="F não pode ser Superior a MF" sqref="I140">
      <formula1>H140</formula1>
    </dataValidation>
    <dataValidation type="whole" operator="lessThanOrEqual" allowBlank="1" showErrorMessage="1" errorTitle="Mensagem de Erro" error="F não pode ser Superior a MF" sqref="I141">
      <formula1>H141</formula1>
    </dataValidation>
    <dataValidation type="whole" operator="lessThanOrEqual" allowBlank="1" showErrorMessage="1" errorTitle="Mensagem de Erro" error="F não pode ser Superior a MF" sqref="I142">
      <formula1>H142</formula1>
    </dataValidation>
    <dataValidation type="whole" operator="lessThanOrEqual" allowBlank="1" showErrorMessage="1" errorTitle="Mensagem de Erro" error="F não pode ser Superior a MF" sqref="I143">
      <formula1>H143</formula1>
    </dataValidation>
    <dataValidation type="whole" operator="lessThanOrEqual" allowBlank="1" showErrorMessage="1" errorTitle="Mensagem de Erro" error="F não pode ser Superior a MF" sqref="I144">
      <formula1>H144</formula1>
    </dataValidation>
    <dataValidation type="whole" operator="lessThanOrEqual" allowBlank="1" showErrorMessage="1" errorTitle="Mensagem de Erro" error="F não pode ser Superior a MF" sqref="I145">
      <formula1>H145</formula1>
    </dataValidation>
    <dataValidation type="whole" operator="lessThanOrEqual" allowBlank="1" showErrorMessage="1" errorTitle="Mensagem de Erro" error="F não pode ser Superior a MF" sqref="I146">
      <formula1>H146</formula1>
    </dataValidation>
    <dataValidation type="whole" operator="lessThanOrEqual" allowBlank="1" showErrorMessage="1" errorTitle="Mensagem de Erro" error="F não pode ser Superior a MF" sqref="I147">
      <formula1>H147</formula1>
    </dataValidation>
    <dataValidation type="whole" operator="lessThanOrEqual" allowBlank="1" showErrorMessage="1" errorTitle="Mensagem de Erro" error="F não pode ser Superior a MF" sqref="I148">
      <formula1>H148</formula1>
    </dataValidation>
    <dataValidation type="whole" operator="lessThanOrEqual" allowBlank="1" showErrorMessage="1" errorTitle="Mensagem de Erro" error="F não pode ser Superior a MF" sqref="I149">
      <formula1>H149</formula1>
    </dataValidation>
    <dataValidation type="whole" operator="lessThanOrEqual" allowBlank="1" showErrorMessage="1" errorTitle="Mensagem de Erro" error="F não pode ser Superior a MF" sqref="I15">
      <formula1>H15</formula1>
    </dataValidation>
    <dataValidation type="whole" operator="lessThanOrEqual" allowBlank="1" showErrorMessage="1" errorTitle="Mensagem de Erro" error="F não pode ser Superior a MF" sqref="I150">
      <formula1>H150</formula1>
    </dataValidation>
    <dataValidation type="whole" operator="lessThanOrEqual" allowBlank="1" showErrorMessage="1" errorTitle="Mensagem de Erro" error="F não pode ser Superior a MF" sqref="I151">
      <formula1>H151</formula1>
    </dataValidation>
    <dataValidation type="whole" operator="lessThanOrEqual" allowBlank="1" showErrorMessage="1" errorTitle="Mensagem de Erro" error="F não pode ser Superior a MF" sqref="I152">
      <formula1>H152</formula1>
    </dataValidation>
    <dataValidation type="whole" operator="lessThanOrEqual" allowBlank="1" showErrorMessage="1" errorTitle="Mensagem de Erro" error="F não pode ser Superior a MF" sqref="I153">
      <formula1>H153</formula1>
    </dataValidation>
    <dataValidation type="whole" operator="lessThanOrEqual" allowBlank="1" showErrorMessage="1" errorTitle="Mensagem de Erro" error="F não pode ser Superior a MF" sqref="I154">
      <formula1>H154</formula1>
    </dataValidation>
    <dataValidation type="whole" operator="lessThanOrEqual" allowBlank="1" showErrorMessage="1" errorTitle="Mensagem de Erro" error="F não pode ser Superior a MF" sqref="I155">
      <formula1>H155</formula1>
    </dataValidation>
    <dataValidation type="whole" operator="lessThanOrEqual" allowBlank="1" showErrorMessage="1" errorTitle="Mensagem de Erro" error="F não pode ser Superior a MF" sqref="I156">
      <formula1>H156</formula1>
    </dataValidation>
    <dataValidation type="whole" operator="lessThanOrEqual" allowBlank="1" showErrorMessage="1" errorTitle="Mensagem de Erro" error="F não pode ser Superior a MF" sqref="I157">
      <formula1>H157</formula1>
    </dataValidation>
    <dataValidation type="whole" operator="lessThanOrEqual" allowBlank="1" showErrorMessage="1" errorTitle="Mensagem de Erro" error="F não pode ser Superior a MF" sqref="I158">
      <formula1>H158</formula1>
    </dataValidation>
    <dataValidation type="whole" operator="lessThanOrEqual" allowBlank="1" showErrorMessage="1" errorTitle="Mensagem de Erro" error="F não pode ser Superior a MF" sqref="I159">
      <formula1>H159</formula1>
    </dataValidation>
    <dataValidation type="whole" operator="lessThanOrEqual" allowBlank="1" showErrorMessage="1" errorTitle="Mensagem de Erro" error="F não pode ser Superior a MF" sqref="I16">
      <formula1>H16</formula1>
    </dataValidation>
    <dataValidation type="whole" operator="lessThanOrEqual" allowBlank="1" showErrorMessage="1" errorTitle="Mensagem de Erro" error="F não pode ser Superior a MF" sqref="I160">
      <formula1>H160</formula1>
    </dataValidation>
    <dataValidation type="whole" operator="lessThanOrEqual" allowBlank="1" showErrorMessage="1" errorTitle="Mensagem de Erro" error="F não pode ser Superior a MF" sqref="I161">
      <formula1>H161</formula1>
    </dataValidation>
    <dataValidation type="whole" operator="lessThanOrEqual" allowBlank="1" showErrorMessage="1" errorTitle="Mensagem de Erro" error="F não pode ser Superior a MF" sqref="I162">
      <formula1>H162</formula1>
    </dataValidation>
    <dataValidation type="whole" operator="lessThanOrEqual" allowBlank="1" showErrorMessage="1" errorTitle="Mensagem de Erro" error="F não pode ser Superior a MF" sqref="I163">
      <formula1>H163</formula1>
    </dataValidation>
    <dataValidation type="whole" operator="lessThanOrEqual" allowBlank="1" showErrorMessage="1" errorTitle="Mensagem de Erro" error="F não pode ser Superior a MF" sqref="I164">
      <formula1>H164</formula1>
    </dataValidation>
    <dataValidation type="whole" operator="lessThanOrEqual" allowBlank="1" showErrorMessage="1" errorTitle="Mensagem de Erro" error="F não pode ser Superior a MF" sqref="I165">
      <formula1>H165</formula1>
    </dataValidation>
    <dataValidation type="whole" operator="lessThanOrEqual" allowBlank="1" showErrorMessage="1" errorTitle="Mensagem de Erro" error="F não pode ser Superior a MF" sqref="I166">
      <formula1>H166</formula1>
    </dataValidation>
    <dataValidation type="whole" operator="lessThanOrEqual" allowBlank="1" showErrorMessage="1" errorTitle="Mensagem de Erro" error="F não pode ser Superior a MF" sqref="I167">
      <formula1>H167</formula1>
    </dataValidation>
    <dataValidation type="whole" operator="lessThanOrEqual" allowBlank="1" showErrorMessage="1" errorTitle="Mensagem de Erro" error="F não pode ser Superior a MF" sqref="I168">
      <formula1>H168</formula1>
    </dataValidation>
    <dataValidation type="whole" operator="lessThanOrEqual" allowBlank="1" showErrorMessage="1" errorTitle="Mensagem de Erro" error="F não pode ser Superior a MF" sqref="I169">
      <formula1>H169</formula1>
    </dataValidation>
    <dataValidation type="whole" operator="lessThanOrEqual" allowBlank="1" showErrorMessage="1" errorTitle="Mensagem de Erro" error="F não pode ser Superior a MF" sqref="I17">
      <formula1>H17</formula1>
    </dataValidation>
    <dataValidation type="whole" operator="lessThanOrEqual" allowBlank="1" showErrorMessage="1" errorTitle="Mensagem de Erro" error="F não pode ser Superior a MF" sqref="I170">
      <formula1>H170</formula1>
    </dataValidation>
    <dataValidation type="whole" operator="lessThanOrEqual" allowBlank="1" showErrorMessage="1" errorTitle="Mensagem de Erro" error="F não pode ser Superior a MF" sqref="I171">
      <formula1>H171</formula1>
    </dataValidation>
    <dataValidation type="whole" operator="lessThanOrEqual" allowBlank="1" showErrorMessage="1" errorTitle="Mensagem de Erro" error="F não pode ser Superior a MF" sqref="I172">
      <formula1>H172</formula1>
    </dataValidation>
    <dataValidation type="whole" operator="lessThanOrEqual" allowBlank="1" showErrorMessage="1" errorTitle="Mensagem de Erro" error="F não pode ser Superior a MF" sqref="I173">
      <formula1>H173</formula1>
    </dataValidation>
    <dataValidation type="whole" operator="lessThanOrEqual" allowBlank="1" showErrorMessage="1" errorTitle="Mensagem de Erro" error="F não pode ser Superior a MF" sqref="I174">
      <formula1>H174</formula1>
    </dataValidation>
    <dataValidation type="whole" operator="lessThanOrEqual" allowBlank="1" showErrorMessage="1" errorTitle="Mensagem de Erro" error="F não pode ser Superior a MF" sqref="I175">
      <formula1>H175</formula1>
    </dataValidation>
    <dataValidation type="whole" operator="lessThanOrEqual" allowBlank="1" showErrorMessage="1" errorTitle="Mensagem de Erro" error="F não pode ser Superior a MF" sqref="I176">
      <formula1>H176</formula1>
    </dataValidation>
    <dataValidation type="whole" operator="lessThanOrEqual" allowBlank="1" showErrorMessage="1" errorTitle="Mensagem de Erro" error="F não pode ser Superior a MF" sqref="I177">
      <formula1>H177</formula1>
    </dataValidation>
    <dataValidation type="whole" operator="lessThanOrEqual" allowBlank="1" showErrorMessage="1" errorTitle="Mensagem de Erro" error="F não pode ser Superior a MF" sqref="I178">
      <formula1>H178</formula1>
    </dataValidation>
    <dataValidation type="whole" operator="lessThanOrEqual" allowBlank="1" showErrorMessage="1" errorTitle="Mensagem de Erro" error="F não pode ser Superior a MF" sqref="I179">
      <formula1>H179</formula1>
    </dataValidation>
    <dataValidation type="whole" operator="lessThanOrEqual" allowBlank="1" showErrorMessage="1" errorTitle="Mensagem de Erro" error="F não pode ser Superior a MF" sqref="I18">
      <formula1>H18</formula1>
    </dataValidation>
    <dataValidation type="whole" operator="lessThanOrEqual" allowBlank="1" showErrorMessage="1" errorTitle="Mensagem de Erro" error="F não pode ser Superior a MF" sqref="I180">
      <formula1>H180</formula1>
    </dataValidation>
    <dataValidation type="whole" operator="lessThanOrEqual" allowBlank="1" showErrorMessage="1" errorTitle="Mensagem de Erro" error="F não pode ser Superior a MF" sqref="I181">
      <formula1>H181</formula1>
    </dataValidation>
    <dataValidation type="whole" operator="lessThanOrEqual" allowBlank="1" showErrorMessage="1" errorTitle="Mensagem de Erro" error="F não pode ser Superior a MF" sqref="I182">
      <formula1>H182</formula1>
    </dataValidation>
    <dataValidation type="whole" operator="lessThanOrEqual" allowBlank="1" showErrorMessage="1" errorTitle="Mensagem de Erro" error="F não pode ser Superior a MF" sqref="I183">
      <formula1>H183</formula1>
    </dataValidation>
    <dataValidation type="whole" operator="lessThanOrEqual" allowBlank="1" showErrorMessage="1" errorTitle="Mensagem de Erro" error="F não pode ser Superior a MF" sqref="I184">
      <formula1>H184</formula1>
    </dataValidation>
    <dataValidation type="whole" operator="lessThanOrEqual" allowBlank="1" showErrorMessage="1" errorTitle="Mensagem de Erro" error="F não pode ser Superior a MF" sqref="I185">
      <formula1>H185</formula1>
    </dataValidation>
    <dataValidation type="whole" operator="lessThanOrEqual" allowBlank="1" showErrorMessage="1" errorTitle="Mensagem de Erro" error="F não pode ser Superior a MF" sqref="I186">
      <formula1>H186</formula1>
    </dataValidation>
    <dataValidation type="whole" operator="lessThanOrEqual" allowBlank="1" showErrorMessage="1" errorTitle="Mensagem de Erro" error="F não pode ser Superior a MF" sqref="I187">
      <formula1>H187</formula1>
    </dataValidation>
    <dataValidation type="whole" operator="lessThanOrEqual" allowBlank="1" showErrorMessage="1" errorTitle="Mensagem de Erro" error="F não pode ser Superior a MF" sqref="I188">
      <formula1>H188</formula1>
    </dataValidation>
    <dataValidation type="whole" operator="lessThanOrEqual" allowBlank="1" showErrorMessage="1" errorTitle="Mensagem de Erro" error="F não pode ser Superior a MF" sqref="I189">
      <formula1>H189</formula1>
    </dataValidation>
    <dataValidation type="whole" operator="lessThanOrEqual" allowBlank="1" showErrorMessage="1" errorTitle="Mensagem de Erro" error="F não pode ser Superior a MF" sqref="I19">
      <formula1>H19</formula1>
    </dataValidation>
    <dataValidation type="whole" operator="lessThanOrEqual" allowBlank="1" showErrorMessage="1" errorTitle="Mensagem de Erro" error="F não pode ser Superior a MF" sqref="I190">
      <formula1>H190</formula1>
    </dataValidation>
    <dataValidation type="whole" operator="lessThanOrEqual" allowBlank="1" showErrorMessage="1" errorTitle="Mensagem de Erro" error="F não pode ser Superior a MF" sqref="I191">
      <formula1>H191</formula1>
    </dataValidation>
    <dataValidation type="whole" operator="lessThanOrEqual" allowBlank="1" showErrorMessage="1" errorTitle="Mensagem de Erro" error="F não pode ser Superior a MF" sqref="I192">
      <formula1>H192</formula1>
    </dataValidation>
    <dataValidation type="whole" operator="lessThanOrEqual" allowBlank="1" showErrorMessage="1" errorTitle="Mensagem de Erro" error="F não pode ser Superior a MF" sqref="I193">
      <formula1>H193</formula1>
    </dataValidation>
    <dataValidation type="whole" operator="lessThanOrEqual" allowBlank="1" showErrorMessage="1" errorTitle="Mensagem de Erro" error="F não pode ser Superior a MF" sqref="I194">
      <formula1>H194</formula1>
    </dataValidation>
    <dataValidation type="whole" operator="lessThanOrEqual" allowBlank="1" showErrorMessage="1" errorTitle="Mensagem de Erro" error="F não pode ser Superior a MF" sqref="I195">
      <formula1>H195</formula1>
    </dataValidation>
    <dataValidation type="whole" operator="lessThanOrEqual" allowBlank="1" showErrorMessage="1" errorTitle="Mensagem de Erro" error="F não pode ser Superior a MF" sqref="I196">
      <formula1>H196</formula1>
    </dataValidation>
    <dataValidation type="whole" operator="lessThanOrEqual" allowBlank="1" showErrorMessage="1" errorTitle="Mensagem de Erro" error="F não pode ser Superior a MF" sqref="I197">
      <formula1>H197</formula1>
    </dataValidation>
    <dataValidation type="whole" operator="lessThanOrEqual" allowBlank="1" showErrorMessage="1" errorTitle="Mensagem de Erro" error="F não pode ser Superior a MF" sqref="I198">
      <formula1>H198</formula1>
    </dataValidation>
    <dataValidation type="whole" operator="lessThanOrEqual" allowBlank="1" showErrorMessage="1" errorTitle="Mensagem de Erro" error="F não pode ser Superior a MF" sqref="I199">
      <formula1>H199</formula1>
    </dataValidation>
    <dataValidation type="whole" operator="lessThanOrEqual" allowBlank="1" showErrorMessage="1" errorTitle="Mensagem de Erro" error="F não pode ser Superior a MF" sqref="I20">
      <formula1>H20</formula1>
    </dataValidation>
    <dataValidation type="whole" operator="lessThanOrEqual" allowBlank="1" showErrorMessage="1" errorTitle="Mensagem de Erro" error="F não pode ser Superior a MF" sqref="I200">
      <formula1>H200</formula1>
    </dataValidation>
    <dataValidation type="whole" operator="lessThanOrEqual" allowBlank="1" showErrorMessage="1" errorTitle="Mensagem de Erro" error="F não pode ser Superior a MF" sqref="I201">
      <formula1>H201</formula1>
    </dataValidation>
    <dataValidation type="whole" operator="lessThanOrEqual" allowBlank="1" showErrorMessage="1" errorTitle="Mensagem de Erro" error="F não pode ser Superior a MF" sqref="I202">
      <formula1>H202</formula1>
    </dataValidation>
    <dataValidation type="whole" operator="lessThanOrEqual" allowBlank="1" showErrorMessage="1" errorTitle="Mensagem de Erro" error="F não pode ser Superior a MF" sqref="I203">
      <formula1>H203</formula1>
    </dataValidation>
    <dataValidation type="whole" operator="lessThanOrEqual" allowBlank="1" showErrorMessage="1" errorTitle="Mensagem de Erro" error="F não pode ser Superior a MF" sqref="I204">
      <formula1>H204</formula1>
    </dataValidation>
    <dataValidation type="whole" operator="lessThanOrEqual" allowBlank="1" showErrorMessage="1" errorTitle="Mensagem de Erro" error="F não pode ser Superior a MF" sqref="I205">
      <formula1>H205</formula1>
    </dataValidation>
    <dataValidation type="whole" operator="lessThanOrEqual" allowBlank="1" showErrorMessage="1" errorTitle="Mensagem de Erro" error="F não pode ser Superior a MF" sqref="I206">
      <formula1>H206</formula1>
    </dataValidation>
    <dataValidation type="whole" operator="lessThanOrEqual" allowBlank="1" showErrorMessage="1" errorTitle="Mensagem de Erro" error="F não pode ser Superior a MF" sqref="I207">
      <formula1>H207</formula1>
    </dataValidation>
    <dataValidation type="whole" operator="lessThanOrEqual" allowBlank="1" showErrorMessage="1" errorTitle="Mensagem de Erro" error="F não pode ser Superior a MF" sqref="I208">
      <formula1>H208</formula1>
    </dataValidation>
    <dataValidation type="whole" operator="lessThanOrEqual" allowBlank="1" showErrorMessage="1" errorTitle="Mensagem de Erro" error="F não pode ser Superior a MF" sqref="I209">
      <formula1>H209</formula1>
    </dataValidation>
    <dataValidation type="whole" operator="lessThanOrEqual" allowBlank="1" showErrorMessage="1" errorTitle="Mensagem de Erro" error="F não pode ser Superior a MF" sqref="I21">
      <formula1>H21</formula1>
    </dataValidation>
    <dataValidation type="whole" operator="lessThanOrEqual" allowBlank="1" showErrorMessage="1" errorTitle="Mensagem de Erro" error="F não pode ser Superior a MF" sqref="I210">
      <formula1>H210</formula1>
    </dataValidation>
    <dataValidation type="whole" operator="lessThanOrEqual" allowBlank="1" showErrorMessage="1" errorTitle="Mensagem de Erro" error="F não pode ser Superior a MF" sqref="I211">
      <formula1>H211</formula1>
    </dataValidation>
    <dataValidation type="whole" operator="lessThanOrEqual" allowBlank="1" showErrorMessage="1" errorTitle="Mensagem de Erro" error="F não pode ser Superior a MF" sqref="I212">
      <formula1>H212</formula1>
    </dataValidation>
    <dataValidation type="whole" operator="lessThanOrEqual" allowBlank="1" showErrorMessage="1" errorTitle="Mensagem de Erro" error="F não pode ser Superior a MF" sqref="I213">
      <formula1>H213</formula1>
    </dataValidation>
    <dataValidation type="whole" operator="lessThanOrEqual" allowBlank="1" showErrorMessage="1" errorTitle="Mensagem de Erro" error="F não pode ser Superior a MF" sqref="I214">
      <formula1>H214</formula1>
    </dataValidation>
    <dataValidation type="whole" operator="lessThanOrEqual" allowBlank="1" showErrorMessage="1" errorTitle="Mensagem de Erro" error="F não pode ser Superior a MF" sqref="I215">
      <formula1>H215</formula1>
    </dataValidation>
    <dataValidation type="whole" operator="lessThanOrEqual" allowBlank="1" showErrorMessage="1" errorTitle="Mensagem de Erro" error="F não pode ser Superior a MF" sqref="I216">
      <formula1>H216</formula1>
    </dataValidation>
    <dataValidation type="whole" operator="lessThanOrEqual" allowBlank="1" showErrorMessage="1" errorTitle="Mensagem de Erro" error="F não pode ser Superior a MF" sqref="I217">
      <formula1>H217</formula1>
    </dataValidation>
    <dataValidation type="whole" operator="lessThanOrEqual" allowBlank="1" showErrorMessage="1" errorTitle="Mensagem de Erro" error="F não pode ser Superior a MF" sqref="I218">
      <formula1>H218</formula1>
    </dataValidation>
    <dataValidation type="whole" operator="lessThanOrEqual" allowBlank="1" showErrorMessage="1" errorTitle="Mensagem de Erro" error="F não pode ser Superior a MF" sqref="I219">
      <formula1>H219</formula1>
    </dataValidation>
    <dataValidation type="whole" operator="lessThanOrEqual" allowBlank="1" showErrorMessage="1" errorTitle="Mensagem de Erro" error="F não pode ser Superior a MF" sqref="I22">
      <formula1>H22</formula1>
    </dataValidation>
    <dataValidation type="whole" operator="lessThanOrEqual" allowBlank="1" showErrorMessage="1" errorTitle="Mensagem de Erro" error="F não pode ser Superior a MF" sqref="I220">
      <formula1>H220</formula1>
    </dataValidation>
    <dataValidation type="whole" operator="lessThanOrEqual" allowBlank="1" showErrorMessage="1" errorTitle="Mensagem de Erro" error="F não pode ser Superior a MF" sqref="I221">
      <formula1>H221</formula1>
    </dataValidation>
    <dataValidation type="whole" operator="lessThanOrEqual" allowBlank="1" showErrorMessage="1" errorTitle="Mensagem de Erro" error="F não pode ser Superior a MF" sqref="I222">
      <formula1>H222</formula1>
    </dataValidation>
    <dataValidation type="whole" operator="lessThanOrEqual" allowBlank="1" showErrorMessage="1" errorTitle="Mensagem de Erro" error="F não pode ser Superior a MF" sqref="I223">
      <formula1>H223</formula1>
    </dataValidation>
    <dataValidation type="whole" operator="lessThanOrEqual" allowBlank="1" showErrorMessage="1" errorTitle="Mensagem de Erro" error="F não pode ser Superior a MF" sqref="I224">
      <formula1>H224</formula1>
    </dataValidation>
    <dataValidation type="whole" operator="lessThanOrEqual" allowBlank="1" showErrorMessage="1" errorTitle="Mensagem de Erro" error="F não pode ser Superior a MF" sqref="I225">
      <formula1>H225</formula1>
    </dataValidation>
    <dataValidation type="whole" operator="lessThanOrEqual" allowBlank="1" showErrorMessage="1" errorTitle="Mensagem de Erro" error="F não pode ser Superior a MF" sqref="I226">
      <formula1>H226</formula1>
    </dataValidation>
    <dataValidation type="whole" operator="lessThanOrEqual" allowBlank="1" showErrorMessage="1" errorTitle="Mensagem de Erro" error="F não pode ser Superior a MF" sqref="I227">
      <formula1>H227</formula1>
    </dataValidation>
    <dataValidation type="whole" operator="lessThanOrEqual" allowBlank="1" showErrorMessage="1" errorTitle="Mensagem de Erro" error="F não pode ser Superior a MF" sqref="I228">
      <formula1>H228</formula1>
    </dataValidation>
    <dataValidation type="whole" operator="lessThanOrEqual" allowBlank="1" showErrorMessage="1" errorTitle="Mensagem de Erro" error="F não pode ser Superior a MF" sqref="I229">
      <formula1>H229</formula1>
    </dataValidation>
    <dataValidation type="whole" operator="lessThanOrEqual" allowBlank="1" showErrorMessage="1" errorTitle="Mensagem de Erro" error="F não pode ser Superior a MF" sqref="I23">
      <formula1>H23</formula1>
    </dataValidation>
    <dataValidation type="whole" operator="lessThanOrEqual" allowBlank="1" showErrorMessage="1" errorTitle="Mensagem de Erro" error="F não pode ser Superior a MF" sqref="I230">
      <formula1>H230</formula1>
    </dataValidation>
    <dataValidation type="whole" operator="lessThanOrEqual" allowBlank="1" showErrorMessage="1" errorTitle="Mensagem de Erro" error="F não pode ser Superior a MF" sqref="I231">
      <formula1>H231</formula1>
    </dataValidation>
    <dataValidation type="whole" operator="lessThanOrEqual" allowBlank="1" showErrorMessage="1" errorTitle="Mensagem de Erro" error="F não pode ser Superior a MF" sqref="I232">
      <formula1>H232</formula1>
    </dataValidation>
    <dataValidation type="whole" operator="lessThanOrEqual" allowBlank="1" showErrorMessage="1" errorTitle="Mensagem de Erro" error="F não pode ser Superior a MF" sqref="I233">
      <formula1>H233</formula1>
    </dataValidation>
    <dataValidation type="whole" operator="lessThanOrEqual" allowBlank="1" showErrorMessage="1" errorTitle="Mensagem de Erro" error="F não pode ser Superior a MF" sqref="I234">
      <formula1>H234</formula1>
    </dataValidation>
    <dataValidation type="whole" operator="lessThanOrEqual" allowBlank="1" showErrorMessage="1" errorTitle="Mensagem de Erro" error="F não pode ser Superior a MF" sqref="I235">
      <formula1>H235</formula1>
    </dataValidation>
    <dataValidation type="whole" operator="lessThanOrEqual" allowBlank="1" showErrorMessage="1" errorTitle="Mensagem de Erro" error="F não pode ser Superior a MF" sqref="I236">
      <formula1>H236</formula1>
    </dataValidation>
    <dataValidation type="whole" operator="lessThanOrEqual" allowBlank="1" showErrorMessage="1" errorTitle="Mensagem de Erro" error="F não pode ser Superior a MF" sqref="I237">
      <formula1>H237</formula1>
    </dataValidation>
    <dataValidation type="whole" operator="lessThanOrEqual" allowBlank="1" showErrorMessage="1" errorTitle="Mensagem de Erro" error="F não pode ser Superior a MF" sqref="I238">
      <formula1>H238</formula1>
    </dataValidation>
    <dataValidation type="whole" operator="lessThanOrEqual" allowBlank="1" showErrorMessage="1" errorTitle="Mensagem de Erro" error="F não pode ser Superior a MF" sqref="I239">
      <formula1>H239</formula1>
    </dataValidation>
    <dataValidation type="whole" operator="lessThanOrEqual" allowBlank="1" showErrorMessage="1" errorTitle="Mensagem de Erro" error="F não pode ser Superior a MF" sqref="I24">
      <formula1>H24</formula1>
    </dataValidation>
    <dataValidation type="whole" operator="lessThanOrEqual" allowBlank="1" showErrorMessage="1" errorTitle="Mensagem de Erro" error="F não pode ser Superior a MF" sqref="I240">
      <formula1>H240</formula1>
    </dataValidation>
    <dataValidation type="whole" operator="lessThanOrEqual" allowBlank="1" showErrorMessage="1" errorTitle="Mensagem de Erro" error="F não pode ser Superior a MF" sqref="I241">
      <formula1>H241</formula1>
    </dataValidation>
    <dataValidation type="whole" operator="lessThanOrEqual" allowBlank="1" showErrorMessage="1" errorTitle="Mensagem de Erro" error="F não pode ser Superior a MF" sqref="I242">
      <formula1>H242</formula1>
    </dataValidation>
    <dataValidation type="whole" operator="lessThanOrEqual" allowBlank="1" showErrorMessage="1" errorTitle="Mensagem de Erro" error="F não pode ser Superior a MF" sqref="I243">
      <formula1>H243</formula1>
    </dataValidation>
    <dataValidation type="whole" operator="lessThanOrEqual" allowBlank="1" showErrorMessage="1" errorTitle="Mensagem de Erro" error="F não pode ser Superior a MF" sqref="I244">
      <formula1>H244</formula1>
    </dataValidation>
    <dataValidation type="whole" operator="lessThanOrEqual" allowBlank="1" showErrorMessage="1" errorTitle="Mensagem de Erro" error="F não pode ser Superior a MF" sqref="I245">
      <formula1>H245</formula1>
    </dataValidation>
    <dataValidation type="whole" operator="lessThanOrEqual" allowBlank="1" showErrorMessage="1" errorTitle="Mensagem de Erro" error="F não pode ser Superior a MF" sqref="I246">
      <formula1>H246</formula1>
    </dataValidation>
    <dataValidation type="whole" operator="lessThanOrEqual" allowBlank="1" showErrorMessage="1" errorTitle="Mensagem de Erro" error="F não pode ser Superior a MF" sqref="I247">
      <formula1>H247</formula1>
    </dataValidation>
    <dataValidation type="whole" operator="lessThanOrEqual" allowBlank="1" showErrorMessage="1" errorTitle="Mensagem de Erro" error="F não pode ser Superior a MF" sqref="I248">
      <formula1>H248</formula1>
    </dataValidation>
    <dataValidation type="whole" operator="lessThanOrEqual" allowBlank="1" showErrorMessage="1" errorTitle="Mensagem de Erro" error="F não pode ser Superior a MF" sqref="I249">
      <formula1>H249</formula1>
    </dataValidation>
    <dataValidation type="whole" operator="lessThanOrEqual" allowBlank="1" showErrorMessage="1" errorTitle="Mensagem de Erro" error="F não pode ser Superior a MF" sqref="I25">
      <formula1>H25</formula1>
    </dataValidation>
    <dataValidation type="whole" operator="lessThanOrEqual" allowBlank="1" showErrorMessage="1" errorTitle="Mensagem de Erro" error="F não pode ser Superior a MF" sqref="I250">
      <formula1>H250</formula1>
    </dataValidation>
    <dataValidation type="whole" operator="lessThanOrEqual" allowBlank="1" showErrorMessage="1" errorTitle="Mensagem de Erro" error="F não pode ser Superior a MF" sqref="I251">
      <formula1>H251</formula1>
    </dataValidation>
    <dataValidation type="whole" operator="lessThanOrEqual" allowBlank="1" showErrorMessage="1" errorTitle="Mensagem de Erro" error="F não pode ser Superior a MF" sqref="I252">
      <formula1>H252</formula1>
    </dataValidation>
    <dataValidation type="whole" operator="lessThanOrEqual" allowBlank="1" showErrorMessage="1" errorTitle="Mensagem de Erro" error="F não pode ser Superior a MF" sqref="I253">
      <formula1>H253</formula1>
    </dataValidation>
    <dataValidation type="whole" operator="lessThanOrEqual" allowBlank="1" showErrorMessage="1" errorTitle="Mensagem de Erro" error="F não pode ser Superior a MF" sqref="I254">
      <formula1>H254</formula1>
    </dataValidation>
    <dataValidation type="whole" operator="lessThanOrEqual" allowBlank="1" showErrorMessage="1" errorTitle="Mensagem de Erro" error="F não pode ser Superior a MF" sqref="I255">
      <formula1>H255</formula1>
    </dataValidation>
    <dataValidation type="whole" operator="lessThanOrEqual" allowBlank="1" showErrorMessage="1" errorTitle="Mensagem de Erro" error="F não pode ser Superior a MF" sqref="I256">
      <formula1>H256</formula1>
    </dataValidation>
    <dataValidation type="whole" operator="lessThanOrEqual" allowBlank="1" showErrorMessage="1" errorTitle="Mensagem de Erro" error="F não pode ser Superior a MF" sqref="I257">
      <formula1>H257</formula1>
    </dataValidation>
    <dataValidation type="whole" operator="lessThanOrEqual" allowBlank="1" showErrorMessage="1" errorTitle="Mensagem de Erro" error="F não pode ser Superior a MF" sqref="I258">
      <formula1>H258</formula1>
    </dataValidation>
    <dataValidation type="whole" operator="lessThanOrEqual" allowBlank="1" showErrorMessage="1" errorTitle="Mensagem de Erro" error="F não pode ser Superior a MF" sqref="I259">
      <formula1>H259</formula1>
    </dataValidation>
    <dataValidation type="whole" operator="lessThanOrEqual" allowBlank="1" showErrorMessage="1" errorTitle="Mensagem de Erro" error="F não pode ser Superior a MF" sqref="I26">
      <formula1>H26</formula1>
    </dataValidation>
    <dataValidation type="whole" operator="lessThanOrEqual" allowBlank="1" showErrorMessage="1" errorTitle="Mensagem de Erro" error="F não pode ser Superior a MF" sqref="I260">
      <formula1>H260</formula1>
    </dataValidation>
    <dataValidation type="whole" operator="lessThanOrEqual" allowBlank="1" showErrorMessage="1" errorTitle="Mensagem de Erro" error="F não pode ser Superior a MF" sqref="I261">
      <formula1>H261</formula1>
    </dataValidation>
    <dataValidation type="whole" operator="lessThanOrEqual" allowBlank="1" showErrorMessage="1" errorTitle="Mensagem de Erro" error="F não pode ser Superior a MF" sqref="I262">
      <formula1>H262</formula1>
    </dataValidation>
    <dataValidation type="whole" operator="lessThanOrEqual" allowBlank="1" showErrorMessage="1" errorTitle="Mensagem de Erro" error="F não pode ser Superior a MF" sqref="I263">
      <formula1>H263</formula1>
    </dataValidation>
    <dataValidation type="whole" operator="lessThanOrEqual" allowBlank="1" showErrorMessage="1" errorTitle="Mensagem de Erro" error="F não pode ser Superior a MF" sqref="I264">
      <formula1>H264</formula1>
    </dataValidation>
    <dataValidation type="whole" operator="lessThanOrEqual" allowBlank="1" showErrorMessage="1" errorTitle="Mensagem de Erro" error="F não pode ser Superior a MF" sqref="I265">
      <formula1>H265</formula1>
    </dataValidation>
    <dataValidation type="whole" operator="lessThanOrEqual" allowBlank="1" showErrorMessage="1" errorTitle="Mensagem de Erro" error="F não pode ser Superior a MF" sqref="I266">
      <formula1>H266</formula1>
    </dataValidation>
    <dataValidation type="whole" operator="lessThanOrEqual" allowBlank="1" showErrorMessage="1" errorTitle="Mensagem de Erro" error="F não pode ser Superior a MF" sqref="I267">
      <formula1>H267</formula1>
    </dataValidation>
    <dataValidation type="whole" operator="lessThanOrEqual" allowBlank="1" showErrorMessage="1" errorTitle="Mensagem de Erro" error="F não pode ser Superior a MF" sqref="I268">
      <formula1>H268</formula1>
    </dataValidation>
    <dataValidation type="whole" operator="lessThanOrEqual" allowBlank="1" showErrorMessage="1" errorTitle="Mensagem de Erro" error="F não pode ser Superior a MF" sqref="I269">
      <formula1>H269</formula1>
    </dataValidation>
    <dataValidation type="whole" operator="lessThanOrEqual" allowBlank="1" showErrorMessage="1" errorTitle="Mensagem de Erro" error="F não pode ser Superior a MF" sqref="I27">
      <formula1>H27</formula1>
    </dataValidation>
    <dataValidation type="whole" operator="lessThanOrEqual" allowBlank="1" showErrorMessage="1" errorTitle="Mensagem de Erro" error="F não pode ser Superior a MF" sqref="I270">
      <formula1>H270</formula1>
    </dataValidation>
    <dataValidation type="whole" operator="lessThanOrEqual" allowBlank="1" showErrorMessage="1" errorTitle="Mensagem de Erro" error="F não pode ser Superior a MF" sqref="I271">
      <formula1>H271</formula1>
    </dataValidation>
    <dataValidation type="whole" operator="lessThanOrEqual" allowBlank="1" showErrorMessage="1" errorTitle="Mensagem de Erro" error="F não pode ser Superior a MF" sqref="I272">
      <formula1>H272</formula1>
    </dataValidation>
    <dataValidation type="whole" operator="lessThanOrEqual" allowBlank="1" showErrorMessage="1" errorTitle="Mensagem de Erro" error="F não pode ser Superior a MF" sqref="I273">
      <formula1>H273</formula1>
    </dataValidation>
    <dataValidation type="whole" operator="lessThanOrEqual" allowBlank="1" showErrorMessage="1" errorTitle="Mensagem de Erro" error="F não pode ser Superior a MF" sqref="I274">
      <formula1>H274</formula1>
    </dataValidation>
    <dataValidation type="whole" operator="lessThanOrEqual" allowBlank="1" showErrorMessage="1" errorTitle="Mensagem de Erro" error="F não pode ser Superior a MF" sqref="I277">
      <formula1>H277</formula1>
    </dataValidation>
    <dataValidation type="whole" operator="lessThanOrEqual" allowBlank="1" showErrorMessage="1" errorTitle="Mensagem de Erro" error="F não pode ser Superior a MF" sqref="I278">
      <formula1>H278</formula1>
    </dataValidation>
    <dataValidation type="whole" operator="lessThanOrEqual" allowBlank="1" showErrorMessage="1" errorTitle="Mensagem de Erro" error="F não pode ser Superior a MF" sqref="I279">
      <formula1>H279</formula1>
    </dataValidation>
    <dataValidation type="whole" operator="lessThanOrEqual" allowBlank="1" showErrorMessage="1" errorTitle="Mensagem de Erro" error="F não pode ser Superior a MF" sqref="I28">
      <formula1>H28</formula1>
    </dataValidation>
    <dataValidation type="whole" operator="lessThanOrEqual" allowBlank="1" showErrorMessage="1" errorTitle="Mensagem de Erro" error="F não pode ser Superior a MF" sqref="I280">
      <formula1>H280</formula1>
    </dataValidation>
    <dataValidation type="whole" operator="lessThanOrEqual" allowBlank="1" showErrorMessage="1" errorTitle="Mensagem de Erro" error="F não pode ser Superior a MF" sqref="I281">
      <formula1>H281</formula1>
    </dataValidation>
    <dataValidation type="whole" operator="lessThanOrEqual" allowBlank="1" showErrorMessage="1" errorTitle="Mensagem de Erro" error="F não pode ser Superior a MF" sqref="I282">
      <formula1>H282</formula1>
    </dataValidation>
    <dataValidation type="whole" operator="lessThanOrEqual" allowBlank="1" showErrorMessage="1" errorTitle="Mensagem de Erro" error="F não pode ser Superior a MF" sqref="I283">
      <formula1>H283</formula1>
    </dataValidation>
    <dataValidation type="whole" operator="lessThanOrEqual" allowBlank="1" showErrorMessage="1" errorTitle="Mensagem de Erro" error="F não pode ser Superior a MF" sqref="I284">
      <formula1>H284</formula1>
    </dataValidation>
    <dataValidation type="whole" operator="lessThanOrEqual" allowBlank="1" showErrorMessage="1" errorTitle="Mensagem de Erro" error="F não pode ser Superior a MF" sqref="I285">
      <formula1>H285</formula1>
    </dataValidation>
    <dataValidation type="whole" operator="lessThanOrEqual" allowBlank="1" showErrorMessage="1" errorTitle="Mensagem de Erro" error="F não pode ser Superior a MF" sqref="I286">
      <formula1>H286</formula1>
    </dataValidation>
    <dataValidation type="whole" operator="lessThanOrEqual" allowBlank="1" showErrorMessage="1" errorTitle="Mensagem de Erro" error="F não pode ser Superior a MF" sqref="I287">
      <formula1>H287</formula1>
    </dataValidation>
    <dataValidation type="whole" operator="lessThanOrEqual" allowBlank="1" showErrorMessage="1" errorTitle="Mensagem de Erro" error="F não pode ser Superior a MF" sqref="I288">
      <formula1>H288</formula1>
    </dataValidation>
    <dataValidation type="whole" operator="lessThanOrEqual" allowBlank="1" showErrorMessage="1" errorTitle="Mensagem de Erro" error="F não pode ser Superior a MF" sqref="I289">
      <formula1>H289</formula1>
    </dataValidation>
    <dataValidation type="whole" operator="lessThanOrEqual" allowBlank="1" showErrorMessage="1" errorTitle="Mensagem de Erro" error="F não pode ser Superior a MF" sqref="I29">
      <formula1>H29</formula1>
    </dataValidation>
    <dataValidation type="whole" operator="lessThanOrEqual" allowBlank="1" showErrorMessage="1" errorTitle="Mensagem de Erro" error="F não pode ser Superior a MF" sqref="I290">
      <formula1>H290</formula1>
    </dataValidation>
    <dataValidation type="whole" operator="lessThanOrEqual" allowBlank="1" showErrorMessage="1" errorTitle="Mensagem de Erro" error="F não pode ser Superior a MF" sqref="I291">
      <formula1>H291</formula1>
    </dataValidation>
    <dataValidation type="whole" operator="lessThanOrEqual" allowBlank="1" showErrorMessage="1" errorTitle="Mensagem de Erro" error="F não pode ser Superior a MF" sqref="I292">
      <formula1>H292</formula1>
    </dataValidation>
    <dataValidation type="whole" operator="lessThanOrEqual" allowBlank="1" showErrorMessage="1" errorTitle="Mensagem de Erro" error="F não pode ser Superior a MF" sqref="I293">
      <formula1>H293</formula1>
    </dataValidation>
    <dataValidation type="whole" operator="lessThanOrEqual" allowBlank="1" showErrorMessage="1" errorTitle="Mensagem de Erro" error="F não pode ser Superior a MF" sqref="I294">
      <formula1>H294</formula1>
    </dataValidation>
    <dataValidation type="whole" operator="lessThanOrEqual" allowBlank="1" showErrorMessage="1" errorTitle="Mensagem de Erro" error="F não pode ser Superior a MF" sqref="I295">
      <formula1>H295</formula1>
    </dataValidation>
    <dataValidation type="whole" operator="lessThanOrEqual" allowBlank="1" showErrorMessage="1" errorTitle="Mensagem de Erro" error="F não pode ser Superior a MF" sqref="I296">
      <formula1>H296</formula1>
    </dataValidation>
    <dataValidation type="whole" operator="lessThanOrEqual" allowBlank="1" showErrorMessage="1" errorTitle="Mensagem de Erro" error="F não pode ser Superior a MF" sqref="I297">
      <formula1>H297</formula1>
    </dataValidation>
    <dataValidation type="whole" operator="lessThanOrEqual" allowBlank="1" showErrorMessage="1" errorTitle="Mensagem de Erro" error="F não pode ser Superior a MF" sqref="I298">
      <formula1>H298</formula1>
    </dataValidation>
    <dataValidation type="whole" operator="lessThanOrEqual" allowBlank="1" showErrorMessage="1" errorTitle="Mensagem de Erro" error="F não pode ser Superior a MF" sqref="I299">
      <formula1>H299</formula1>
    </dataValidation>
    <dataValidation type="whole" operator="lessThanOrEqual" allowBlank="1" showErrorMessage="1" errorTitle="Mensagem de Erro" error="F não pode ser Superior a MF" sqref="I30">
      <formula1>H30</formula1>
    </dataValidation>
    <dataValidation type="whole" operator="lessThanOrEqual" allowBlank="1" showErrorMessage="1" errorTitle="Mensagem de Erro" error="F não pode ser Superior a MF" sqref="I300">
      <formula1>H300</formula1>
    </dataValidation>
    <dataValidation type="whole" operator="lessThanOrEqual" allowBlank="1" showErrorMessage="1" errorTitle="Mensagem de Erro" error="F não pode ser Superior a MF" sqref="I301">
      <formula1>H301</formula1>
    </dataValidation>
    <dataValidation type="whole" operator="lessThanOrEqual" allowBlank="1" showErrorMessage="1" errorTitle="Mensagem de Erro" error="F não pode ser Superior a MF" sqref="I302">
      <formula1>H302</formula1>
    </dataValidation>
    <dataValidation type="whole" operator="lessThanOrEqual" allowBlank="1" showErrorMessage="1" errorTitle="Mensagem de Erro" error="F não pode ser Superior a MF" sqref="I303">
      <formula1>H303</formula1>
    </dataValidation>
    <dataValidation type="whole" operator="lessThanOrEqual" allowBlank="1" showErrorMessage="1" errorTitle="Mensagem de Erro" error="F não pode ser Superior a MF" sqref="I304">
      <formula1>H304</formula1>
    </dataValidation>
    <dataValidation type="whole" operator="lessThanOrEqual" allowBlank="1" showErrorMessage="1" errorTitle="Mensagem de Erro" error="F não pode ser Superior a MF" sqref="I305">
      <formula1>H305</formula1>
    </dataValidation>
    <dataValidation type="whole" operator="lessThanOrEqual" allowBlank="1" showErrorMessage="1" errorTitle="Mensagem de Erro" error="F não pode ser Superior a MF" sqref="I306">
      <formula1>H306</formula1>
    </dataValidation>
    <dataValidation type="whole" operator="lessThanOrEqual" allowBlank="1" showErrorMessage="1" errorTitle="Mensagem de Erro" error="F não pode ser Superior a MF" sqref="I307">
      <formula1>H307</formula1>
    </dataValidation>
    <dataValidation type="whole" operator="lessThanOrEqual" allowBlank="1" showErrorMessage="1" errorTitle="Mensagem de Erro" error="F não pode ser Superior a MF" sqref="I308">
      <formula1>H308</formula1>
    </dataValidation>
    <dataValidation type="whole" operator="lessThanOrEqual" allowBlank="1" showErrorMessage="1" errorTitle="Mensagem de Erro" error="F não pode ser Superior a MF" sqref="I309">
      <formula1>H309</formula1>
    </dataValidation>
    <dataValidation type="whole" operator="lessThanOrEqual" allowBlank="1" showErrorMessage="1" errorTitle="Mensagem de Erro" error="F não pode ser Superior a MF" sqref="I31">
      <formula1>H31</formula1>
    </dataValidation>
    <dataValidation type="whole" operator="lessThanOrEqual" allowBlank="1" showErrorMessage="1" errorTitle="Mensagem de Erro" error="F não pode ser Superior a MF" sqref="I310">
      <formula1>H310</formula1>
    </dataValidation>
    <dataValidation type="whole" operator="lessThanOrEqual" allowBlank="1" showErrorMessage="1" errorTitle="Mensagem de Erro" error="F não pode ser Superior a MF" sqref="I311">
      <formula1>H311</formula1>
    </dataValidation>
    <dataValidation type="whole" operator="lessThanOrEqual" allowBlank="1" showErrorMessage="1" errorTitle="Mensagem de Erro" error="F não pode ser Superior a MF" sqref="I312">
      <formula1>H312</formula1>
    </dataValidation>
    <dataValidation type="whole" operator="lessThanOrEqual" allowBlank="1" showErrorMessage="1" errorTitle="Mensagem de Erro" error="F não pode ser Superior a MF" sqref="I313">
      <formula1>H313</formula1>
    </dataValidation>
    <dataValidation type="whole" operator="lessThanOrEqual" allowBlank="1" showErrorMessage="1" errorTitle="Mensagem de Erro" error="F não pode ser Superior a MF" sqref="I314">
      <formula1>H314</formula1>
    </dataValidation>
    <dataValidation type="whole" operator="lessThanOrEqual" allowBlank="1" showErrorMessage="1" errorTitle="Mensagem de Erro" error="F não pode ser Superior a MF" sqref="I315">
      <formula1>H315</formula1>
    </dataValidation>
    <dataValidation type="whole" operator="lessThanOrEqual" allowBlank="1" showErrorMessage="1" errorTitle="Mensagem de Erro" error="F não pode ser Superior a MF" sqref="I316">
      <formula1>H316</formula1>
    </dataValidation>
    <dataValidation type="whole" operator="lessThanOrEqual" allowBlank="1" showErrorMessage="1" errorTitle="Mensagem de Erro" error="F não pode ser Superior a MF" sqref="I317">
      <formula1>H317</formula1>
    </dataValidation>
    <dataValidation type="whole" operator="lessThanOrEqual" allowBlank="1" showErrorMessage="1" errorTitle="Mensagem de Erro" error="F não pode ser Superior a MF" sqref="I318">
      <formula1>H318</formula1>
    </dataValidation>
    <dataValidation type="whole" operator="lessThanOrEqual" allowBlank="1" showErrorMessage="1" errorTitle="Mensagem de Erro" error="F não pode ser Superior a MF" sqref="I319">
      <formula1>H319</formula1>
    </dataValidation>
    <dataValidation type="whole" operator="lessThanOrEqual" allowBlank="1" showErrorMessage="1" errorTitle="Mensagem de Erro" error="F não pode ser Superior a MF" sqref="I32">
      <formula1>H32</formula1>
    </dataValidation>
    <dataValidation type="whole" operator="lessThanOrEqual" allowBlank="1" showErrorMessage="1" errorTitle="Mensagem de Erro" error="F não pode ser Superior a MF" sqref="I320">
      <formula1>H320</formula1>
    </dataValidation>
    <dataValidation type="whole" operator="lessThanOrEqual" allowBlank="1" showErrorMessage="1" errorTitle="Mensagem de Erro" error="F não pode ser Superior a MF" sqref="I321">
      <formula1>H321</formula1>
    </dataValidation>
    <dataValidation type="whole" operator="lessThanOrEqual" allowBlank="1" showErrorMessage="1" errorTitle="Mensagem de Erro" error="F não pode ser Superior a MF" sqref="I322">
      <formula1>H322</formula1>
    </dataValidation>
    <dataValidation type="whole" operator="lessThanOrEqual" allowBlank="1" showErrorMessage="1" errorTitle="Mensagem de Erro" error="F não pode ser Superior a MF" sqref="I323">
      <formula1>H323</formula1>
    </dataValidation>
    <dataValidation type="whole" operator="lessThanOrEqual" allowBlank="1" showErrorMessage="1" errorTitle="Mensagem de Erro" error="F não pode ser Superior a MF" sqref="I324">
      <formula1>H324</formula1>
    </dataValidation>
    <dataValidation type="whole" operator="lessThanOrEqual" allowBlank="1" showErrorMessage="1" errorTitle="Mensagem de Erro" error="F não pode ser Superior a MF" sqref="I325">
      <formula1>H325</formula1>
    </dataValidation>
    <dataValidation type="whole" operator="lessThanOrEqual" allowBlank="1" showErrorMessage="1" errorTitle="Mensagem de Erro" error="F não pode ser Superior a MF" sqref="I326">
      <formula1>H326</formula1>
    </dataValidation>
    <dataValidation type="whole" operator="lessThanOrEqual" allowBlank="1" showErrorMessage="1" errorTitle="Mensagem de Erro" error="F não pode ser Superior a MF" sqref="I329">
      <formula1>H329</formula1>
    </dataValidation>
    <dataValidation type="whole" operator="lessThanOrEqual" allowBlank="1" showErrorMessage="1" errorTitle="Mensagem de Erro" error="F não pode ser Superior a MF" sqref="I33">
      <formula1>H33</formula1>
    </dataValidation>
    <dataValidation type="whole" operator="lessThanOrEqual" allowBlank="1" showErrorMessage="1" errorTitle="Mensagem de Erro" error="F não pode ser Superior a MF" sqref="I330">
      <formula1>H330</formula1>
    </dataValidation>
    <dataValidation type="whole" operator="lessThanOrEqual" allowBlank="1" showErrorMessage="1" errorTitle="Mensagem de Erro" error="F não pode ser Superior a MF" sqref="I331">
      <formula1>H331</formula1>
    </dataValidation>
    <dataValidation type="whole" operator="lessThanOrEqual" allowBlank="1" showErrorMessage="1" errorTitle="Mensagem de Erro" error="F não pode ser Superior a MF" sqref="I332">
      <formula1>H332</formula1>
    </dataValidation>
    <dataValidation type="whole" operator="lessThanOrEqual" allowBlank="1" showErrorMessage="1" errorTitle="Mensagem de Erro" error="F não pode ser Superior a MF" sqref="I333">
      <formula1>H333</formula1>
    </dataValidation>
    <dataValidation type="whole" operator="lessThanOrEqual" allowBlank="1" showErrorMessage="1" errorTitle="Mensagem de Erro" error="F não pode ser Superior a MF" sqref="I334">
      <formula1>H334</formula1>
    </dataValidation>
    <dataValidation type="whole" operator="lessThanOrEqual" allowBlank="1" showErrorMessage="1" errorTitle="Mensagem de Erro" error="F não pode ser Superior a MF" sqref="I335">
      <formula1>H335</formula1>
    </dataValidation>
    <dataValidation type="whole" operator="lessThanOrEqual" allowBlank="1" showErrorMessage="1" errorTitle="Mensagem de Erro" error="F não pode ser Superior a MF" sqref="I336">
      <formula1>H336</formula1>
    </dataValidation>
    <dataValidation type="whole" operator="lessThanOrEqual" allowBlank="1" showErrorMessage="1" errorTitle="Mensagem de Erro" error="F não pode ser Superior a MF" sqref="I337">
      <formula1>H337</formula1>
    </dataValidation>
    <dataValidation type="whole" operator="lessThanOrEqual" allowBlank="1" showErrorMessage="1" errorTitle="Mensagem de Erro" error="F não pode ser Superior a MF" sqref="I338">
      <formula1>H338</formula1>
    </dataValidation>
    <dataValidation type="whole" operator="lessThanOrEqual" allowBlank="1" showErrorMessage="1" errorTitle="Mensagem de Erro" error="F não pode ser Superior a MF" sqref="I339">
      <formula1>H339</formula1>
    </dataValidation>
    <dataValidation type="whole" operator="lessThanOrEqual" allowBlank="1" showErrorMessage="1" errorTitle="Mensagem de Erro" error="F não pode ser Superior a MF" sqref="I34">
      <formula1>H34</formula1>
    </dataValidation>
    <dataValidation type="whole" operator="lessThanOrEqual" allowBlank="1" showErrorMessage="1" errorTitle="Mensagem de Erro" error="F não pode ser Superior a MF" sqref="I340">
      <formula1>H340</formula1>
    </dataValidation>
    <dataValidation type="whole" operator="lessThanOrEqual" allowBlank="1" showErrorMessage="1" errorTitle="Mensagem de Erro" error="F não pode ser Superior a MF" sqref="I341">
      <formula1>H341</formula1>
    </dataValidation>
    <dataValidation type="whole" operator="lessThanOrEqual" allowBlank="1" showErrorMessage="1" errorTitle="Mensagem de Erro" error="F não pode ser Superior a MF" sqref="I342">
      <formula1>H342</formula1>
    </dataValidation>
    <dataValidation type="whole" operator="lessThanOrEqual" allowBlank="1" showErrorMessage="1" errorTitle="Mensagem de Erro" error="F não pode ser Superior a MF" sqref="I343">
      <formula1>H343</formula1>
    </dataValidation>
    <dataValidation type="whole" operator="lessThanOrEqual" allowBlank="1" showErrorMessage="1" errorTitle="Mensagem de Erro" error="F não pode ser Superior a MF" sqref="I344">
      <formula1>H344</formula1>
    </dataValidation>
    <dataValidation type="whole" operator="lessThanOrEqual" allowBlank="1" showErrorMessage="1" errorTitle="Mensagem de Erro" error="F não pode ser Superior a MF" sqref="I345">
      <formula1>H345</formula1>
    </dataValidation>
    <dataValidation type="whole" operator="lessThanOrEqual" allowBlank="1" showErrorMessage="1" errorTitle="Mensagem de Erro" error="F não pode ser Superior a MF" sqref="I346">
      <formula1>H346</formula1>
    </dataValidation>
    <dataValidation type="whole" operator="lessThanOrEqual" allowBlank="1" showErrorMessage="1" errorTitle="Mensagem de Erro" error="F não pode ser Superior a MF" sqref="I347">
      <formula1>H347</formula1>
    </dataValidation>
    <dataValidation type="whole" operator="lessThanOrEqual" allowBlank="1" showErrorMessage="1" errorTitle="Mensagem de Erro" error="F não pode ser Superior a MF" sqref="I348">
      <formula1>H348</formula1>
    </dataValidation>
    <dataValidation type="whole" operator="lessThanOrEqual" allowBlank="1" showErrorMessage="1" errorTitle="Mensagem de Erro" error="F não pode ser Superior a MF" sqref="I349">
      <formula1>H349</formula1>
    </dataValidation>
    <dataValidation type="whole" operator="lessThanOrEqual" allowBlank="1" showErrorMessage="1" errorTitle="Mensagem de Erro" error="F não pode ser Superior a MF" sqref="I35">
      <formula1>H35</formula1>
    </dataValidation>
    <dataValidation type="whole" operator="lessThanOrEqual" allowBlank="1" showErrorMessage="1" errorTitle="Mensagem de Erro" error="F não pode ser Superior a MF" sqref="I350">
      <formula1>H350</formula1>
    </dataValidation>
    <dataValidation type="whole" operator="lessThanOrEqual" allowBlank="1" showErrorMessage="1" errorTitle="Mensagem de Erro" error="F não pode ser Superior a MF" sqref="I353">
      <formula1>H353</formula1>
    </dataValidation>
    <dataValidation type="whole" operator="lessThanOrEqual" allowBlank="1" showErrorMessage="1" errorTitle="Mensagem de Erro" error="F não pode ser Superior a MF" sqref="I354">
      <formula1>H354</formula1>
    </dataValidation>
    <dataValidation type="whole" operator="lessThanOrEqual" allowBlank="1" showErrorMessage="1" errorTitle="Mensagem de Erro" error="F não pode ser Superior a MF" sqref="I355">
      <formula1>H355</formula1>
    </dataValidation>
    <dataValidation type="whole" operator="lessThanOrEqual" allowBlank="1" showErrorMessage="1" errorTitle="Mensagem de Erro" error="F não pode ser Superior a MF" sqref="I356">
      <formula1>H356</formula1>
    </dataValidation>
    <dataValidation type="whole" operator="lessThanOrEqual" allowBlank="1" showErrorMessage="1" errorTitle="Mensagem de Erro" error="F não pode ser Superior a MF" sqref="I357">
      <formula1>H357</formula1>
    </dataValidation>
    <dataValidation type="whole" operator="lessThanOrEqual" allowBlank="1" showErrorMessage="1" errorTitle="Mensagem de Erro" error="F não pode ser Superior a MF" sqref="I358">
      <formula1>H358</formula1>
    </dataValidation>
    <dataValidation type="whole" operator="lessThanOrEqual" allowBlank="1" showErrorMessage="1" errorTitle="Mensagem de Erro" error="F não pode ser Superior a MF" sqref="I359">
      <formula1>H359</formula1>
    </dataValidation>
    <dataValidation type="whole" operator="lessThanOrEqual" allowBlank="1" showErrorMessage="1" errorTitle="Mensagem de Erro" error="F não pode ser Superior a MF" sqref="I36">
      <formula1>H36</formula1>
    </dataValidation>
    <dataValidation type="whole" operator="lessThanOrEqual" allowBlank="1" showErrorMessage="1" errorTitle="Mensagem de Erro" error="F não pode ser Superior a MF" sqref="I360">
      <formula1>H360</formula1>
    </dataValidation>
    <dataValidation type="whole" operator="lessThanOrEqual" allowBlank="1" showErrorMessage="1" errorTitle="Mensagem de Erro" error="F não pode ser Superior a MF" sqref="I361">
      <formula1>H361</formula1>
    </dataValidation>
    <dataValidation type="whole" operator="lessThanOrEqual" allowBlank="1" showErrorMessage="1" errorTitle="Mensagem de Erro" error="F não pode ser Superior a MF" sqref="I362">
      <formula1>H362</formula1>
    </dataValidation>
    <dataValidation type="whole" operator="lessThanOrEqual" allowBlank="1" showErrorMessage="1" errorTitle="Mensagem de Erro" error="F não pode ser Superior a MF" sqref="I363">
      <formula1>H363</formula1>
    </dataValidation>
    <dataValidation type="whole" operator="lessThanOrEqual" allowBlank="1" showErrorMessage="1" errorTitle="Mensagem de Erro" error="F não pode ser Superior a MF" sqref="I364">
      <formula1>H364</formula1>
    </dataValidation>
    <dataValidation type="whole" operator="lessThanOrEqual" allowBlank="1" showErrorMessage="1" errorTitle="Mensagem de Erro" error="F não pode ser Superior a MF" sqref="I365">
      <formula1>H365</formula1>
    </dataValidation>
    <dataValidation type="whole" operator="lessThanOrEqual" allowBlank="1" showErrorMessage="1" errorTitle="Mensagem de Erro" error="F não pode ser Superior a MF" sqref="I366">
      <formula1>H366</formula1>
    </dataValidation>
    <dataValidation type="whole" operator="lessThanOrEqual" allowBlank="1" showErrorMessage="1" errorTitle="Mensagem de Erro" error="F não pode ser Superior a MF" sqref="I367">
      <formula1>H367</formula1>
    </dataValidation>
    <dataValidation type="whole" operator="lessThanOrEqual" allowBlank="1" showErrorMessage="1" errorTitle="Mensagem de Erro" error="F não pode ser Superior a MF" sqref="I368">
      <formula1>H368</formula1>
    </dataValidation>
    <dataValidation type="whole" operator="lessThanOrEqual" allowBlank="1" showErrorMessage="1" errorTitle="Mensagem de Erro" error="F não pode ser Superior a MF" sqref="I369">
      <formula1>H369</formula1>
    </dataValidation>
    <dataValidation type="whole" operator="lessThanOrEqual" allowBlank="1" showErrorMessage="1" errorTitle="Mensagem de Erro" error="F não pode ser Superior a MF" sqref="I37">
      <formula1>H37</formula1>
    </dataValidation>
    <dataValidation type="whole" operator="lessThanOrEqual" allowBlank="1" showErrorMessage="1" errorTitle="Mensagem de Erro" error="F não pode ser Superior a MF" sqref="I370">
      <formula1>H370</formula1>
    </dataValidation>
    <dataValidation type="whole" operator="lessThanOrEqual" allowBlank="1" showErrorMessage="1" errorTitle="Mensagem de Erro" error="F não pode ser Superior a MF" sqref="I38">
      <formula1>H38</formula1>
    </dataValidation>
    <dataValidation type="whole" operator="lessThanOrEqual" allowBlank="1" showErrorMessage="1" errorTitle="Mensagem de Erro" error="F não pode ser Superior a MF" sqref="I39">
      <formula1>H39</formula1>
    </dataValidation>
    <dataValidation type="whole" operator="lessThanOrEqual" allowBlank="1" showErrorMessage="1" errorTitle="Mensagem de Erro" error="F não pode ser Superior a MF" sqref="I40">
      <formula1>H40</formula1>
    </dataValidation>
    <dataValidation type="whole" operator="lessThanOrEqual" allowBlank="1" showErrorMessage="1" errorTitle="Mensagem de Erro" error="F não pode ser Superior a MF" sqref="I41">
      <formula1>H41</formula1>
    </dataValidation>
    <dataValidation type="whole" operator="lessThanOrEqual" allowBlank="1" showErrorMessage="1" errorTitle="Mensagem de Erro" error="F não pode ser Superior a MF" sqref="I42">
      <formula1>H42</formula1>
    </dataValidation>
    <dataValidation type="whole" operator="lessThanOrEqual" allowBlank="1" showErrorMessage="1" errorTitle="Mensagem de Erro" error="F não pode ser Superior a MF" sqref="I43">
      <formula1>H43</formula1>
    </dataValidation>
    <dataValidation type="whole" operator="lessThanOrEqual" allowBlank="1" showErrorMessage="1" errorTitle="Mensagem de Erro" error="F não pode ser Superior a MF" sqref="I44">
      <formula1>H44</formula1>
    </dataValidation>
    <dataValidation type="whole" operator="lessThanOrEqual" allowBlank="1" showErrorMessage="1" errorTitle="Mensagem de Erro" error="F não pode ser Superior a MF" sqref="I45">
      <formula1>H45</formula1>
    </dataValidation>
    <dataValidation type="whole" operator="lessThanOrEqual" allowBlank="1" showErrorMessage="1" errorTitle="Mensagem de Erro" error="F não pode ser Superior a MF" sqref="I46">
      <formula1>H46</formula1>
    </dataValidation>
    <dataValidation type="whole" operator="lessThanOrEqual" allowBlank="1" showErrorMessage="1" errorTitle="Mensagem de Erro" error="F não pode ser Superior a MF" sqref="I47">
      <formula1>H47</formula1>
    </dataValidation>
    <dataValidation type="whole" operator="lessThanOrEqual" allowBlank="1" showErrorMessage="1" errorTitle="Mensagem de Erro" error="F não pode ser Superior a MF" sqref="I48">
      <formula1>H48</formula1>
    </dataValidation>
    <dataValidation type="whole" operator="lessThanOrEqual" allowBlank="1" showErrorMessage="1" errorTitle="Mensagem de Erro" error="F não pode ser Superior a MF" sqref="I49">
      <formula1>H49</formula1>
    </dataValidation>
    <dataValidation type="whole" operator="lessThanOrEqual" allowBlank="1" showErrorMessage="1" errorTitle="Mensagem de Erro" error="F não pode ser Superior a MF" sqref="I50">
      <formula1>H50</formula1>
    </dataValidation>
    <dataValidation type="whole" operator="lessThanOrEqual" allowBlank="1" showErrorMessage="1" errorTitle="Mensagem de Erro" error="F não pode ser Superior a MF" sqref="I51">
      <formula1>H51</formula1>
    </dataValidation>
    <dataValidation type="whole" operator="lessThanOrEqual" allowBlank="1" showErrorMessage="1" errorTitle="Mensagem de Erro" error="F não pode ser Superior a MF" sqref="I52">
      <formula1>H52</formula1>
    </dataValidation>
    <dataValidation type="whole" operator="lessThanOrEqual" allowBlank="1" showErrorMessage="1" errorTitle="Mensagem de Erro" error="F não pode ser Superior a MF" sqref="I53">
      <formula1>H53</formula1>
    </dataValidation>
    <dataValidation type="whole" operator="lessThanOrEqual" allowBlank="1" showErrorMessage="1" errorTitle="Mensagem de Erro" error="F não pode ser Superior a MF" sqref="I54">
      <formula1>H54</formula1>
    </dataValidation>
    <dataValidation type="whole" operator="lessThanOrEqual" allowBlank="1" showErrorMessage="1" errorTitle="Mensagem de Erro" error="F não pode ser Superior a MF" sqref="I55">
      <formula1>H55</formula1>
    </dataValidation>
    <dataValidation type="whole" operator="lessThanOrEqual" allowBlank="1" showErrorMessage="1" errorTitle="Mensagem de Erro" error="F não pode ser Superior a MF" sqref="I56">
      <formula1>H56</formula1>
    </dataValidation>
    <dataValidation type="whole" operator="lessThanOrEqual" allowBlank="1" showErrorMessage="1" errorTitle="Mensagem de Erro" error="F não pode ser Superior a MF" sqref="I57">
      <formula1>H57</formula1>
    </dataValidation>
    <dataValidation type="whole" operator="lessThanOrEqual" allowBlank="1" showErrorMessage="1" errorTitle="Mensagem de Erro" error="F não pode ser Superior a MF" sqref="I58">
      <formula1>H58</formula1>
    </dataValidation>
    <dataValidation type="whole" operator="lessThanOrEqual" allowBlank="1" showErrorMessage="1" errorTitle="Mensagem de Erro" error="F não pode ser Superior a MF" sqref="I59">
      <formula1>H59</formula1>
    </dataValidation>
    <dataValidation type="whole" operator="lessThanOrEqual" allowBlank="1" showErrorMessage="1" errorTitle="Mensagem de Erro" error="F não pode ser Superior a MF" sqref="I60">
      <formula1>H60</formula1>
    </dataValidation>
    <dataValidation type="whole" operator="lessThanOrEqual" allowBlank="1" showErrorMessage="1" errorTitle="Mensagem de Erro" error="F não pode ser Superior a MF" sqref="I61">
      <formula1>H61</formula1>
    </dataValidation>
    <dataValidation type="whole" operator="lessThanOrEqual" allowBlank="1" showErrorMessage="1" errorTitle="Mensagem de Erro" error="F não pode ser Superior a MF" sqref="I62">
      <formula1>H62</formula1>
    </dataValidation>
    <dataValidation type="whole" operator="lessThanOrEqual" allowBlank="1" showErrorMessage="1" errorTitle="Mensagem de Erro" error="F não pode ser Superior a MF" sqref="I63">
      <formula1>H63</formula1>
    </dataValidation>
    <dataValidation type="whole" operator="lessThanOrEqual" allowBlank="1" showErrorMessage="1" errorTitle="Mensagem de Erro" error="F não pode ser Superior a MF" sqref="I64">
      <formula1>H64</formula1>
    </dataValidation>
    <dataValidation type="whole" operator="lessThanOrEqual" allowBlank="1" showErrorMessage="1" errorTitle="Mensagem de Erro" error="F não pode ser Superior a MF" sqref="I65">
      <formula1>H65</formula1>
    </dataValidation>
    <dataValidation type="whole" operator="lessThanOrEqual" allowBlank="1" showErrorMessage="1" errorTitle="Mensagem de Erro" error="F não pode ser Superior a MF" sqref="I66">
      <formula1>H66</formula1>
    </dataValidation>
    <dataValidation type="whole" operator="lessThanOrEqual" allowBlank="1" showErrorMessage="1" errorTitle="Mensagem de Erro" error="F não pode ser Superior a MF" sqref="I67">
      <formula1>H67</formula1>
    </dataValidation>
    <dataValidation type="whole" operator="lessThanOrEqual" allowBlank="1" showErrorMessage="1" errorTitle="Mensagem de Erro" error="F não pode ser Superior a MF" sqref="I68">
      <formula1>H68</formula1>
    </dataValidation>
    <dataValidation type="whole" operator="lessThanOrEqual" allowBlank="1" showErrorMessage="1" errorTitle="Mensagem de Erro" error="F não pode ser Superior a MF" sqref="I69">
      <formula1>H69</formula1>
    </dataValidation>
    <dataValidation type="whole" operator="lessThanOrEqual" allowBlank="1" showErrorMessage="1" errorTitle="Mensagem de Erro" error="F não pode ser Superior a MF" sqref="I7">
      <formula1>H7</formula1>
    </dataValidation>
    <dataValidation type="whole" operator="lessThanOrEqual" allowBlank="1" showErrorMessage="1" errorTitle="Mensagem de Erro" error="F não pode ser Superior a MF" sqref="I70">
      <formula1>H70</formula1>
    </dataValidation>
    <dataValidation type="whole" operator="lessThanOrEqual" allowBlank="1" showErrorMessage="1" errorTitle="Mensagem de Erro" error="F não pode ser Superior a MF" sqref="I71">
      <formula1>H71</formula1>
    </dataValidation>
    <dataValidation type="whole" operator="lessThanOrEqual" allowBlank="1" showErrorMessage="1" errorTitle="Mensagem de Erro" error="F não pode ser Superior a MF" sqref="I72">
      <formula1>H72</formula1>
    </dataValidation>
    <dataValidation type="whole" operator="lessThanOrEqual" allowBlank="1" showErrorMessage="1" errorTitle="Mensagem de Erro" error="F não pode ser Superior a MF" sqref="I73">
      <formula1>H73</formula1>
    </dataValidation>
    <dataValidation type="whole" operator="lessThanOrEqual" allowBlank="1" showErrorMessage="1" errorTitle="Mensagem de Erro" error="F não pode ser Superior a MF" sqref="I74">
      <formula1>H74</formula1>
    </dataValidation>
    <dataValidation type="whole" operator="lessThanOrEqual" allowBlank="1" showErrorMessage="1" errorTitle="Mensagem de Erro" error="F não pode ser Superior a MF" sqref="I75">
      <formula1>H75</formula1>
    </dataValidation>
    <dataValidation type="whole" operator="lessThanOrEqual" allowBlank="1" showErrorMessage="1" errorTitle="Mensagem de Erro" error="F não pode ser Superior a MF" sqref="I76">
      <formula1>H76</formula1>
    </dataValidation>
    <dataValidation type="whole" operator="lessThanOrEqual" allowBlank="1" showErrorMessage="1" errorTitle="Mensagem de Erro" error="F não pode ser Superior a MF" sqref="I77">
      <formula1>H77</formula1>
    </dataValidation>
    <dataValidation type="whole" operator="lessThanOrEqual" allowBlank="1" showErrorMessage="1" errorTitle="Mensagem de Erro" error="F não pode ser Superior a MF" sqref="I78">
      <formula1>H78</formula1>
    </dataValidation>
    <dataValidation type="whole" operator="lessThanOrEqual" allowBlank="1" showErrorMessage="1" errorTitle="Mensagem de Erro" error="F não pode ser Superior a MF" sqref="I79">
      <formula1>H79</formula1>
    </dataValidation>
    <dataValidation type="whole" operator="lessThanOrEqual" allowBlank="1" showErrorMessage="1" errorTitle="Mensagem de Erro" error="F não pode ser Superior a MF" sqref="I8">
      <formula1>H8</formula1>
    </dataValidation>
    <dataValidation type="whole" operator="lessThanOrEqual" allowBlank="1" showErrorMessage="1" errorTitle="Mensagem de Erro" error="F não pode ser Superior a MF" sqref="I80">
      <formula1>H80</formula1>
    </dataValidation>
    <dataValidation type="whole" operator="lessThanOrEqual" allowBlank="1" showErrorMessage="1" errorTitle="Mensagem de Erro" error="F não pode ser Superior a MF" sqref="I81">
      <formula1>H81</formula1>
    </dataValidation>
    <dataValidation type="whole" operator="lessThanOrEqual" allowBlank="1" showErrorMessage="1" errorTitle="Mensagem de Erro" error="F não pode ser Superior a MF" sqref="I82">
      <formula1>H82</formula1>
    </dataValidation>
    <dataValidation type="whole" operator="lessThanOrEqual" allowBlank="1" showErrorMessage="1" errorTitle="Mensagem de Erro" error="F não pode ser Superior a MF" sqref="I83">
      <formula1>H83</formula1>
    </dataValidation>
    <dataValidation type="whole" operator="lessThanOrEqual" allowBlank="1" showErrorMessage="1" errorTitle="Mensagem de Erro" error="F não pode ser Superior a MF" sqref="I84">
      <formula1>H84</formula1>
    </dataValidation>
    <dataValidation type="whole" operator="lessThanOrEqual" allowBlank="1" showErrorMessage="1" errorTitle="Mensagem de Erro" error="F não pode ser Superior a MF" sqref="I85">
      <formula1>H85</formula1>
    </dataValidation>
    <dataValidation type="whole" operator="lessThanOrEqual" allowBlank="1" showErrorMessage="1" errorTitle="Mensagem de Erro" error="F não pode ser Superior a MF" sqref="I86">
      <formula1>H86</formula1>
    </dataValidation>
    <dataValidation type="whole" operator="lessThanOrEqual" allowBlank="1" showErrorMessage="1" errorTitle="Mensagem de Erro" error="F não pode ser Superior a MF" sqref="I87">
      <formula1>H87</formula1>
    </dataValidation>
    <dataValidation type="whole" operator="lessThanOrEqual" allowBlank="1" showErrorMessage="1" errorTitle="Mensagem de Erro" error="F não pode ser Superior a MF" sqref="I88">
      <formula1>H88</formula1>
    </dataValidation>
    <dataValidation type="whole" operator="lessThanOrEqual" allowBlank="1" showErrorMessage="1" errorTitle="Mensagem de Erro" error="F não pode ser Superior a MF" sqref="I89">
      <formula1>H89</formula1>
    </dataValidation>
    <dataValidation type="whole" operator="lessThanOrEqual" allowBlank="1" showErrorMessage="1" errorTitle="Mensagem de Erro" error="F não pode ser Superior a MF" sqref="I9">
      <formula1>H9</formula1>
    </dataValidation>
    <dataValidation type="whole" operator="lessThanOrEqual" allowBlank="1" showErrorMessage="1" errorTitle="Mensagem de Erro" error="F não pode ser Superior a MF" sqref="I90">
      <formula1>H90</formula1>
    </dataValidation>
    <dataValidation type="whole" operator="lessThanOrEqual" allowBlank="1" showErrorMessage="1" errorTitle="Mensagem de Erro" error="F não pode ser Superior a MF" sqref="I91">
      <formula1>H91</formula1>
    </dataValidation>
    <dataValidation type="whole" operator="lessThanOrEqual" allowBlank="1" showErrorMessage="1" errorTitle="Mensagem de Erro" error="F não pode ser Superior a MF" sqref="I92">
      <formula1>H92</formula1>
    </dataValidation>
    <dataValidation type="whole" operator="lessThanOrEqual" allowBlank="1" showErrorMessage="1" errorTitle="Mensagem de Erro" error="F não pode ser Superior a MF" sqref="I93">
      <formula1>H93</formula1>
    </dataValidation>
    <dataValidation type="whole" operator="lessThanOrEqual" allowBlank="1" showErrorMessage="1" errorTitle="Mensagem de Erro" error="F não pode ser Superior a MF" sqref="I94">
      <formula1>H94</formula1>
    </dataValidation>
    <dataValidation type="whole" operator="lessThanOrEqual" allowBlank="1" showErrorMessage="1" errorTitle="Mensagem de Erro" error="F não pode ser Superior a MF" sqref="I95">
      <formula1>H95</formula1>
    </dataValidation>
    <dataValidation type="whole" operator="lessThanOrEqual" allowBlank="1" showErrorMessage="1" errorTitle="Mensagem de Erro" error="F não pode ser Superior a MF" sqref="I96">
      <formula1>H96</formula1>
    </dataValidation>
    <dataValidation type="whole" operator="lessThanOrEqual" allowBlank="1" showErrorMessage="1" errorTitle="Mensagem de Erro" error="F não pode ser Superior a MF" sqref="I97">
      <formula1>H97</formula1>
    </dataValidation>
    <dataValidation type="whole" operator="lessThanOrEqual" allowBlank="1" showErrorMessage="1" errorTitle="Mensagem de Erro" error="F não pode ser Superior a MF" sqref="I98">
      <formula1>H98</formula1>
    </dataValidation>
    <dataValidation type="whole" operator="lessThanOrEqual" allowBlank="1" showErrorMessage="1" errorTitle="Mensagem de Erro" error="F não pode ser Superior a MF" sqref="I99">
      <formula1>H99</formula1>
    </dataValidation>
    <dataValidation type="whole" operator="lessThanOrEqual" allowBlank="1" showErrorMessage="1" errorTitle="Mensagem de Erro" error="F não pode ser Superior a MF" sqref="K10">
      <formula1>J10</formula1>
    </dataValidation>
    <dataValidation type="whole" operator="lessThanOrEqual" allowBlank="1" showErrorMessage="1" errorTitle="Mensagem de Erro" error="F não pode ser Superior a MF" sqref="K100">
      <formula1>J100</formula1>
    </dataValidation>
    <dataValidation type="whole" operator="lessThanOrEqual" allowBlank="1" showErrorMessage="1" errorTitle="Mensagem de Erro" error="F não pode ser Superior a MF" sqref="K101">
      <formula1>J101</formula1>
    </dataValidation>
    <dataValidation type="whole" operator="lessThanOrEqual" allowBlank="1" showErrorMessage="1" errorTitle="Mensagem de Erro" error="F não pode ser Superior a MF" sqref="K102">
      <formula1>J102</formula1>
    </dataValidation>
    <dataValidation type="whole" operator="lessThanOrEqual" allowBlank="1" showErrorMessage="1" errorTitle="Mensagem de Erro" error="F não pode ser Superior a MF" sqref="K103">
      <formula1>J103</formula1>
    </dataValidation>
    <dataValidation type="whole" operator="lessThanOrEqual" allowBlank="1" showErrorMessage="1" errorTitle="Mensagem de Erro" error="F não pode ser Superior a MF" sqref="K104">
      <formula1>J104</formula1>
    </dataValidation>
    <dataValidation type="whole" operator="lessThanOrEqual" allowBlank="1" showErrorMessage="1" errorTitle="Mensagem de Erro" error="F não pode ser Superior a MF" sqref="K105">
      <formula1>J105</formula1>
    </dataValidation>
    <dataValidation type="whole" operator="lessThanOrEqual" allowBlank="1" showErrorMessage="1" errorTitle="Mensagem de Erro" error="F não pode ser Superior a MF" sqref="K106">
      <formula1>J106</formula1>
    </dataValidation>
    <dataValidation type="whole" operator="lessThanOrEqual" allowBlank="1" showErrorMessage="1" errorTitle="Mensagem de Erro" error="F não pode ser Superior a MF" sqref="K107">
      <formula1>J107</formula1>
    </dataValidation>
    <dataValidation type="whole" operator="lessThanOrEqual" allowBlank="1" showErrorMessage="1" errorTitle="Mensagem de Erro" error="F não pode ser Superior a MF" sqref="K108">
      <formula1>J108</formula1>
    </dataValidation>
    <dataValidation type="whole" operator="lessThanOrEqual" allowBlank="1" showErrorMessage="1" errorTitle="Mensagem de Erro" error="F não pode ser Superior a MF" sqref="K109">
      <formula1>J109</formula1>
    </dataValidation>
    <dataValidation type="whole" operator="lessThanOrEqual" allowBlank="1" showErrorMessage="1" errorTitle="Mensagem de Erro" error="F não pode ser Superior a MF" sqref="K11">
      <formula1>J11</formula1>
    </dataValidation>
    <dataValidation type="whole" operator="lessThanOrEqual" allowBlank="1" showErrorMessage="1" errorTitle="Mensagem de Erro" error="F não pode ser Superior a MF" sqref="K110">
      <formula1>J110</formula1>
    </dataValidation>
    <dataValidation type="whole" operator="lessThanOrEqual" allowBlank="1" showErrorMessage="1" errorTitle="Mensagem de Erro" error="F não pode ser Superior a MF" sqref="K111">
      <formula1>J111</formula1>
    </dataValidation>
    <dataValidation type="whole" operator="lessThanOrEqual" allowBlank="1" showErrorMessage="1" errorTitle="Mensagem de Erro" error="F não pode ser Superior a MF" sqref="K112">
      <formula1>J112</formula1>
    </dataValidation>
    <dataValidation type="whole" operator="lessThanOrEqual" allowBlank="1" showErrorMessage="1" errorTitle="Mensagem de Erro" error="F não pode ser Superior a MF" sqref="K113">
      <formula1>J113</formula1>
    </dataValidation>
    <dataValidation type="whole" operator="lessThanOrEqual" allowBlank="1" showErrorMessage="1" errorTitle="Mensagem de Erro" error="F não pode ser Superior a MF" sqref="K114">
      <formula1>J114</formula1>
    </dataValidation>
    <dataValidation type="whole" operator="lessThanOrEqual" allowBlank="1" showErrorMessage="1" errorTitle="Mensagem de Erro" error="F não pode ser Superior a MF" sqref="K115">
      <formula1>J115</formula1>
    </dataValidation>
    <dataValidation type="whole" operator="lessThanOrEqual" allowBlank="1" showErrorMessage="1" errorTitle="Mensagem de Erro" error="F não pode ser Superior a MF" sqref="K116">
      <formula1>J116</formula1>
    </dataValidation>
    <dataValidation type="whole" operator="lessThanOrEqual" allowBlank="1" showErrorMessage="1" errorTitle="Mensagem de Erro" error="F não pode ser Superior a MF" sqref="K117">
      <formula1>J117</formula1>
    </dataValidation>
    <dataValidation type="whole" operator="lessThanOrEqual" allowBlank="1" showErrorMessage="1" errorTitle="Mensagem de Erro" error="F não pode ser Superior a MF" sqref="K118">
      <formula1>J118</formula1>
    </dataValidation>
    <dataValidation type="whole" operator="lessThanOrEqual" allowBlank="1" showErrorMessage="1" errorTitle="Mensagem de Erro" error="F não pode ser Superior a MF" sqref="K119">
      <formula1>J119</formula1>
    </dataValidation>
    <dataValidation type="whole" operator="lessThanOrEqual" allowBlank="1" showErrorMessage="1" errorTitle="Mensagem de Erro" error="F não pode ser Superior a MF" sqref="K12">
      <formula1>J12</formula1>
    </dataValidation>
    <dataValidation type="whole" operator="lessThanOrEqual" allowBlank="1" showErrorMessage="1" errorTitle="Mensagem de Erro" error="F não pode ser Superior a MF" sqref="K120">
      <formula1>J120</formula1>
    </dataValidation>
    <dataValidation type="whole" operator="lessThanOrEqual" allowBlank="1" showErrorMessage="1" errorTitle="Mensagem de Erro" error="F não pode ser Superior a MF" sqref="K121">
      <formula1>J121</formula1>
    </dataValidation>
    <dataValidation type="whole" operator="lessThanOrEqual" allowBlank="1" showErrorMessage="1" errorTitle="Mensagem de Erro" error="F não pode ser Superior a MF" sqref="K122">
      <formula1>J122</formula1>
    </dataValidation>
    <dataValidation type="whole" operator="lessThanOrEqual" allowBlank="1" showErrorMessage="1" errorTitle="Mensagem de Erro" error="F não pode ser Superior a MF" sqref="K123">
      <formula1>J123</formula1>
    </dataValidation>
    <dataValidation type="whole" operator="lessThanOrEqual" allowBlank="1" showErrorMessage="1" errorTitle="Mensagem de Erro" error="F não pode ser Superior a MF" sqref="K124">
      <formula1>J124</formula1>
    </dataValidation>
    <dataValidation type="whole" operator="lessThanOrEqual" allowBlank="1" showErrorMessage="1" errorTitle="Mensagem de Erro" error="F não pode ser Superior a MF" sqref="K125">
      <formula1>J125</formula1>
    </dataValidation>
    <dataValidation type="whole" operator="lessThanOrEqual" allowBlank="1" showErrorMessage="1" errorTitle="Mensagem de Erro" error="F não pode ser Superior a MF" sqref="K126">
      <formula1>J126</formula1>
    </dataValidation>
    <dataValidation type="whole" operator="lessThanOrEqual" allowBlank="1" showErrorMessage="1" errorTitle="Mensagem de Erro" error="F não pode ser Superior a MF" sqref="K127">
      <formula1>J127</formula1>
    </dataValidation>
    <dataValidation type="whole" operator="lessThanOrEqual" allowBlank="1" showErrorMessage="1" errorTitle="Mensagem de Erro" error="F não pode ser Superior a MF" sqref="K128">
      <formula1>J128</formula1>
    </dataValidation>
    <dataValidation type="whole" operator="lessThanOrEqual" allowBlank="1" showErrorMessage="1" errorTitle="Mensagem de Erro" error="F não pode ser Superior a MF" sqref="K129">
      <formula1>J129</formula1>
    </dataValidation>
    <dataValidation type="whole" operator="lessThanOrEqual" allowBlank="1" showErrorMessage="1" errorTitle="Mensagem de Erro" error="F não pode ser Superior a MF" sqref="K13">
      <formula1>J13</formula1>
    </dataValidation>
    <dataValidation type="whole" operator="lessThanOrEqual" allowBlank="1" showErrorMessage="1" errorTitle="Mensagem de Erro" error="F não pode ser Superior a MF" sqref="K130">
      <formula1>J130</formula1>
    </dataValidation>
    <dataValidation type="whole" operator="lessThanOrEqual" allowBlank="1" showErrorMessage="1" errorTitle="Mensagem de Erro" error="F não pode ser Superior a MF" sqref="K131">
      <formula1>J131</formula1>
    </dataValidation>
    <dataValidation type="whole" operator="lessThanOrEqual" allowBlank="1" showErrorMessage="1" errorTitle="Mensagem de Erro" error="F não pode ser Superior a MF" sqref="K132">
      <formula1>J132</formula1>
    </dataValidation>
    <dataValidation type="whole" operator="lessThanOrEqual" allowBlank="1" showErrorMessage="1" errorTitle="Mensagem de Erro" error="F não pode ser Superior a MF" sqref="K133">
      <formula1>J133</formula1>
    </dataValidation>
    <dataValidation type="whole" operator="lessThanOrEqual" allowBlank="1" showErrorMessage="1" errorTitle="Mensagem de Erro" error="F não pode ser Superior a MF" sqref="K134">
      <formula1>J134</formula1>
    </dataValidation>
    <dataValidation type="whole" operator="lessThanOrEqual" allowBlank="1" showErrorMessage="1" errorTitle="Mensagem de Erro" error="F não pode ser Superior a MF" sqref="K135">
      <formula1>J135</formula1>
    </dataValidation>
    <dataValidation type="whole" operator="lessThanOrEqual" allowBlank="1" showErrorMessage="1" errorTitle="Mensagem de Erro" error="F não pode ser Superior a MF" sqref="K136">
      <formula1>J136</formula1>
    </dataValidation>
    <dataValidation type="whole" operator="lessThanOrEqual" allowBlank="1" showErrorMessage="1" errorTitle="Mensagem de Erro" error="F não pode ser Superior a MF" sqref="K137">
      <formula1>J137</formula1>
    </dataValidation>
    <dataValidation type="whole" operator="lessThanOrEqual" allowBlank="1" showErrorMessage="1" errorTitle="Mensagem de Erro" error="F não pode ser Superior a MF" sqref="K138">
      <formula1>J138</formula1>
    </dataValidation>
    <dataValidation type="whole" operator="lessThanOrEqual" allowBlank="1" showErrorMessage="1" errorTitle="Mensagem de Erro" error="F não pode ser Superior a MF" sqref="K139">
      <formula1>J139</formula1>
    </dataValidation>
    <dataValidation type="whole" operator="lessThanOrEqual" allowBlank="1" showErrorMessage="1" errorTitle="Mensagem de Erro" error="F não pode ser Superior a MF" sqref="K14">
      <formula1>J14</formula1>
    </dataValidation>
    <dataValidation type="whole" operator="lessThanOrEqual" allowBlank="1" showErrorMessage="1" errorTitle="Mensagem de Erro" error="F não pode ser Superior a MF" sqref="K140">
      <formula1>J140</formula1>
    </dataValidation>
    <dataValidation type="whole" operator="lessThanOrEqual" allowBlank="1" showErrorMessage="1" errorTitle="Mensagem de Erro" error="F não pode ser Superior a MF" sqref="K141">
      <formula1>J141</formula1>
    </dataValidation>
    <dataValidation type="whole" operator="lessThanOrEqual" allowBlank="1" showErrorMessage="1" errorTitle="Mensagem de Erro" error="F não pode ser Superior a MF" sqref="K142">
      <formula1>J142</formula1>
    </dataValidation>
    <dataValidation type="whole" operator="lessThanOrEqual" allowBlank="1" showErrorMessage="1" errorTitle="Mensagem de Erro" error="F não pode ser Superior a MF" sqref="K143">
      <formula1>J143</formula1>
    </dataValidation>
    <dataValidation type="whole" operator="lessThanOrEqual" allowBlank="1" showErrorMessage="1" errorTitle="Mensagem de Erro" error="F não pode ser Superior a MF" sqref="K144">
      <formula1>J144</formula1>
    </dataValidation>
    <dataValidation type="whole" operator="lessThanOrEqual" allowBlank="1" showErrorMessage="1" errorTitle="Mensagem de Erro" error="F não pode ser Superior a MF" sqref="K145">
      <formula1>J145</formula1>
    </dataValidation>
    <dataValidation type="whole" operator="lessThanOrEqual" allowBlank="1" showErrorMessage="1" errorTitle="Mensagem de Erro" error="F não pode ser Superior a MF" sqref="K146">
      <formula1>J146</formula1>
    </dataValidation>
    <dataValidation type="whole" operator="lessThanOrEqual" allowBlank="1" showErrorMessage="1" errorTitle="Mensagem de Erro" error="F não pode ser Superior a MF" sqref="K147">
      <formula1>J147</formula1>
    </dataValidation>
    <dataValidation type="whole" operator="lessThanOrEqual" allowBlank="1" showErrorMessage="1" errorTitle="Mensagem de Erro" error="F não pode ser Superior a MF" sqref="K148">
      <formula1>J148</formula1>
    </dataValidation>
    <dataValidation type="whole" operator="lessThanOrEqual" allowBlank="1" showErrorMessage="1" errorTitle="Mensagem de Erro" error="F não pode ser Superior a MF" sqref="K149">
      <formula1>J149</formula1>
    </dataValidation>
    <dataValidation type="whole" operator="lessThanOrEqual" allowBlank="1" showErrorMessage="1" errorTitle="Mensagem de Erro" error="F não pode ser Superior a MF" sqref="K15">
      <formula1>J15</formula1>
    </dataValidation>
    <dataValidation type="whole" operator="lessThanOrEqual" allowBlank="1" showErrorMessage="1" errorTitle="Mensagem de Erro" error="F não pode ser Superior a MF" sqref="K150">
      <formula1>J150</formula1>
    </dataValidation>
    <dataValidation type="whole" operator="lessThanOrEqual" allowBlank="1" showErrorMessage="1" errorTitle="Mensagem de Erro" error="F não pode ser Superior a MF" sqref="K151">
      <formula1>J151</formula1>
    </dataValidation>
    <dataValidation type="whole" operator="lessThanOrEqual" allowBlank="1" showErrorMessage="1" errorTitle="Mensagem de Erro" error="F não pode ser Superior a MF" sqref="K152">
      <formula1>J152</formula1>
    </dataValidation>
    <dataValidation type="whole" operator="lessThanOrEqual" allowBlank="1" showErrorMessage="1" errorTitle="Mensagem de Erro" error="F não pode ser Superior a MF" sqref="K153">
      <formula1>J153</formula1>
    </dataValidation>
    <dataValidation type="whole" operator="lessThanOrEqual" allowBlank="1" showErrorMessage="1" errorTitle="Mensagem de Erro" error="F não pode ser Superior a MF" sqref="K154">
      <formula1>J154</formula1>
    </dataValidation>
    <dataValidation type="whole" operator="lessThanOrEqual" allowBlank="1" showErrorMessage="1" errorTitle="Mensagem de Erro" error="F não pode ser Superior a MF" sqref="K155">
      <formula1>J155</formula1>
    </dataValidation>
    <dataValidation type="whole" operator="lessThanOrEqual" allowBlank="1" showErrorMessage="1" errorTitle="Mensagem de Erro" error="F não pode ser Superior a MF" sqref="K156">
      <formula1>J156</formula1>
    </dataValidation>
    <dataValidation type="whole" operator="lessThanOrEqual" allowBlank="1" showErrorMessage="1" errorTitle="Mensagem de Erro" error="F não pode ser Superior a MF" sqref="K157">
      <formula1>J157</formula1>
    </dataValidation>
    <dataValidation type="whole" operator="lessThanOrEqual" allowBlank="1" showErrorMessage="1" errorTitle="Mensagem de Erro" error="F não pode ser Superior a MF" sqref="K158">
      <formula1>J158</formula1>
    </dataValidation>
    <dataValidation type="whole" operator="lessThanOrEqual" allowBlank="1" showErrorMessage="1" errorTitle="Mensagem de Erro" error="F não pode ser Superior a MF" sqref="K159">
      <formula1>J159</formula1>
    </dataValidation>
    <dataValidation type="whole" operator="lessThanOrEqual" allowBlank="1" showErrorMessage="1" errorTitle="Mensagem de Erro" error="F não pode ser Superior a MF" sqref="K16">
      <formula1>J16</formula1>
    </dataValidation>
    <dataValidation type="whole" operator="lessThanOrEqual" allowBlank="1" showErrorMessage="1" errorTitle="Mensagem de Erro" error="F não pode ser Superior a MF" sqref="K160">
      <formula1>J160</formula1>
    </dataValidation>
    <dataValidation type="whole" operator="lessThanOrEqual" allowBlank="1" showErrorMessage="1" errorTitle="Mensagem de Erro" error="F não pode ser Superior a MF" sqref="K161">
      <formula1>J161</formula1>
    </dataValidation>
    <dataValidation type="whole" operator="lessThanOrEqual" allowBlank="1" showErrorMessage="1" errorTitle="Mensagem de Erro" error="F não pode ser Superior a MF" sqref="K162">
      <formula1>J162</formula1>
    </dataValidation>
    <dataValidation type="whole" operator="lessThanOrEqual" allowBlank="1" showErrorMessage="1" errorTitle="Mensagem de Erro" error="F não pode ser Superior a MF" sqref="K163">
      <formula1>J163</formula1>
    </dataValidation>
    <dataValidation type="whole" operator="lessThanOrEqual" allowBlank="1" showErrorMessage="1" errorTitle="Mensagem de Erro" error="F não pode ser Superior a MF" sqref="K164">
      <formula1>J164</formula1>
    </dataValidation>
    <dataValidation type="whole" operator="lessThanOrEqual" allowBlank="1" showErrorMessage="1" errorTitle="Mensagem de Erro" error="F não pode ser Superior a MF" sqref="K165">
      <formula1>J165</formula1>
    </dataValidation>
    <dataValidation type="whole" operator="lessThanOrEqual" allowBlank="1" showErrorMessage="1" errorTitle="Mensagem de Erro" error="F não pode ser Superior a MF" sqref="K166">
      <formula1>J166</formula1>
    </dataValidation>
    <dataValidation type="whole" operator="lessThanOrEqual" allowBlank="1" showErrorMessage="1" errorTitle="Mensagem de Erro" error="F não pode ser Superior a MF" sqref="K167">
      <formula1>J167</formula1>
    </dataValidation>
    <dataValidation type="whole" operator="lessThanOrEqual" allowBlank="1" showErrorMessage="1" errorTitle="Mensagem de Erro" error="F não pode ser Superior a MF" sqref="K168">
      <formula1>J168</formula1>
    </dataValidation>
    <dataValidation type="whole" operator="lessThanOrEqual" allowBlank="1" showErrorMessage="1" errorTitle="Mensagem de Erro" error="F não pode ser Superior a MF" sqref="K169">
      <formula1>J169</formula1>
    </dataValidation>
    <dataValidation type="whole" operator="lessThanOrEqual" allowBlank="1" showErrorMessage="1" errorTitle="Mensagem de Erro" error="F não pode ser Superior a MF" sqref="K17">
      <formula1>J17</formula1>
    </dataValidation>
    <dataValidation type="whole" operator="lessThanOrEqual" allowBlank="1" showErrorMessage="1" errorTitle="Mensagem de Erro" error="F não pode ser Superior a MF" sqref="K170">
      <formula1>J170</formula1>
    </dataValidation>
    <dataValidation type="whole" operator="lessThanOrEqual" allowBlank="1" showErrorMessage="1" errorTitle="Mensagem de Erro" error="F não pode ser Superior a MF" sqref="K171">
      <formula1>J171</formula1>
    </dataValidation>
    <dataValidation type="whole" operator="lessThanOrEqual" allowBlank="1" showErrorMessage="1" errorTitle="Mensagem de Erro" error="F não pode ser Superior a MF" sqref="K172">
      <formula1>J172</formula1>
    </dataValidation>
    <dataValidation type="whole" operator="lessThanOrEqual" allowBlank="1" showErrorMessage="1" errorTitle="Mensagem de Erro" error="F não pode ser Superior a MF" sqref="K173">
      <formula1>J173</formula1>
    </dataValidation>
    <dataValidation type="whole" operator="lessThanOrEqual" allowBlank="1" showErrorMessage="1" errorTitle="Mensagem de Erro" error="F não pode ser Superior a MF" sqref="K174">
      <formula1>J174</formula1>
    </dataValidation>
    <dataValidation type="whole" operator="lessThanOrEqual" allowBlank="1" showErrorMessage="1" errorTitle="Mensagem de Erro" error="F não pode ser Superior a MF" sqref="K175">
      <formula1>J175</formula1>
    </dataValidation>
    <dataValidation type="whole" operator="lessThanOrEqual" allowBlank="1" showErrorMessage="1" errorTitle="Mensagem de Erro" error="F não pode ser Superior a MF" sqref="K176">
      <formula1>J176</formula1>
    </dataValidation>
    <dataValidation type="whole" operator="lessThanOrEqual" allowBlank="1" showErrorMessage="1" errorTitle="Mensagem de Erro" error="F não pode ser Superior a MF" sqref="K177">
      <formula1>J177</formula1>
    </dataValidation>
    <dataValidation type="whole" operator="lessThanOrEqual" allowBlank="1" showErrorMessage="1" errorTitle="Mensagem de Erro" error="F não pode ser Superior a MF" sqref="K178">
      <formula1>J178</formula1>
    </dataValidation>
    <dataValidation type="whole" operator="lessThanOrEqual" allowBlank="1" showErrorMessage="1" errorTitle="Mensagem de Erro" error="F não pode ser Superior a MF" sqref="K179">
      <formula1>J179</formula1>
    </dataValidation>
    <dataValidation type="whole" operator="lessThanOrEqual" allowBlank="1" showErrorMessage="1" errorTitle="Mensagem de Erro" error="F não pode ser Superior a MF" sqref="K18">
      <formula1>J18</formula1>
    </dataValidation>
    <dataValidation type="whole" operator="lessThanOrEqual" allowBlank="1" showErrorMessage="1" errorTitle="Mensagem de Erro" error="F não pode ser Superior a MF" sqref="K180">
      <formula1>J180</formula1>
    </dataValidation>
    <dataValidation type="whole" operator="lessThanOrEqual" allowBlank="1" showErrorMessage="1" errorTitle="Mensagem de Erro" error="F não pode ser Superior a MF" sqref="K181">
      <formula1>J181</formula1>
    </dataValidation>
    <dataValidation type="whole" operator="lessThanOrEqual" allowBlank="1" showErrorMessage="1" errorTitle="Mensagem de Erro" error="F não pode ser Superior a MF" sqref="K182">
      <formula1>J182</formula1>
    </dataValidation>
    <dataValidation type="whole" operator="lessThanOrEqual" allowBlank="1" showErrorMessage="1" errorTitle="Mensagem de Erro" error="F não pode ser Superior a MF" sqref="K183">
      <formula1>J183</formula1>
    </dataValidation>
    <dataValidation type="whole" operator="lessThanOrEqual" allowBlank="1" showErrorMessage="1" errorTitle="Mensagem de Erro" error="F não pode ser Superior a MF" sqref="K184">
      <formula1>J184</formula1>
    </dataValidation>
    <dataValidation type="whole" operator="lessThanOrEqual" allowBlank="1" showErrorMessage="1" errorTitle="Mensagem de Erro" error="F não pode ser Superior a MF" sqref="K185">
      <formula1>J185</formula1>
    </dataValidation>
    <dataValidation type="whole" operator="lessThanOrEqual" allowBlank="1" showErrorMessage="1" errorTitle="Mensagem de Erro" error="F não pode ser Superior a MF" sqref="K186">
      <formula1>J186</formula1>
    </dataValidation>
    <dataValidation type="whole" operator="lessThanOrEqual" allowBlank="1" showErrorMessage="1" errorTitle="Mensagem de Erro" error="F não pode ser Superior a MF" sqref="K187">
      <formula1>J187</formula1>
    </dataValidation>
    <dataValidation type="whole" operator="lessThanOrEqual" allowBlank="1" showErrorMessage="1" errorTitle="Mensagem de Erro" error="F não pode ser Superior a MF" sqref="K188">
      <formula1>J188</formula1>
    </dataValidation>
    <dataValidation type="whole" operator="lessThanOrEqual" allowBlank="1" showErrorMessage="1" errorTitle="Mensagem de Erro" error="F não pode ser Superior a MF" sqref="K189">
      <formula1>J189</formula1>
    </dataValidation>
    <dataValidation type="whole" operator="lessThanOrEqual" allowBlank="1" showErrorMessage="1" errorTitle="Mensagem de Erro" error="F não pode ser Superior a MF" sqref="K19">
      <formula1>J19</formula1>
    </dataValidation>
    <dataValidation type="whole" operator="lessThanOrEqual" allowBlank="1" showErrorMessage="1" errorTitle="Mensagem de Erro" error="F não pode ser Superior a MF" sqref="K190">
      <formula1>J190</formula1>
    </dataValidation>
    <dataValidation type="whole" operator="lessThanOrEqual" allowBlank="1" showErrorMessage="1" errorTitle="Mensagem de Erro" error="F não pode ser Superior a MF" sqref="K191">
      <formula1>J191</formula1>
    </dataValidation>
    <dataValidation type="whole" operator="lessThanOrEqual" allowBlank="1" showErrorMessage="1" errorTitle="Mensagem de Erro" error="F não pode ser Superior a MF" sqref="K192">
      <formula1>J192</formula1>
    </dataValidation>
    <dataValidation type="whole" operator="lessThanOrEqual" allowBlank="1" showErrorMessage="1" errorTitle="Mensagem de Erro" error="F não pode ser Superior a MF" sqref="K193">
      <formula1>J193</formula1>
    </dataValidation>
    <dataValidation type="whole" operator="lessThanOrEqual" allowBlank="1" showErrorMessage="1" errorTitle="Mensagem de Erro" error="F não pode ser Superior a MF" sqref="K194">
      <formula1>J194</formula1>
    </dataValidation>
    <dataValidation type="whole" operator="lessThanOrEqual" allowBlank="1" showErrorMessage="1" errorTitle="Mensagem de Erro" error="F não pode ser Superior a MF" sqref="K195">
      <formula1>J195</formula1>
    </dataValidation>
    <dataValidation type="whole" operator="lessThanOrEqual" allowBlank="1" showErrorMessage="1" errorTitle="Mensagem de Erro" error="F não pode ser Superior a MF" sqref="K196">
      <formula1>J196</formula1>
    </dataValidation>
    <dataValidation type="whole" operator="lessThanOrEqual" allowBlank="1" showErrorMessage="1" errorTitle="Mensagem de Erro" error="F não pode ser Superior a MF" sqref="K197">
      <formula1>J197</formula1>
    </dataValidation>
    <dataValidation type="whole" operator="lessThanOrEqual" allowBlank="1" showErrorMessage="1" errorTitle="Mensagem de Erro" error="F não pode ser Superior a MF" sqref="K198">
      <formula1>J198</formula1>
    </dataValidation>
    <dataValidation type="whole" operator="lessThanOrEqual" allowBlank="1" showErrorMessage="1" errorTitle="Mensagem de Erro" error="F não pode ser Superior a MF" sqref="K199">
      <formula1>J199</formula1>
    </dataValidation>
    <dataValidation type="whole" operator="lessThanOrEqual" allowBlank="1" showErrorMessage="1" errorTitle="Mensagem de Erro" error="F não pode ser Superior a MF" sqref="K20">
      <formula1>J20</formula1>
    </dataValidation>
    <dataValidation type="whole" operator="lessThanOrEqual" allowBlank="1" showErrorMessage="1" errorTitle="Mensagem de Erro" error="F não pode ser Superior a MF" sqref="K200">
      <formula1>J200</formula1>
    </dataValidation>
    <dataValidation type="whole" operator="lessThanOrEqual" allowBlank="1" showErrorMessage="1" errorTitle="Mensagem de Erro" error="F não pode ser Superior a MF" sqref="K201">
      <formula1>J201</formula1>
    </dataValidation>
    <dataValidation type="whole" operator="lessThanOrEqual" allowBlank="1" showErrorMessage="1" errorTitle="Mensagem de Erro" error="F não pode ser Superior a MF" sqref="K202">
      <formula1>J202</formula1>
    </dataValidation>
    <dataValidation type="whole" operator="lessThanOrEqual" allowBlank="1" showErrorMessage="1" errorTitle="Mensagem de Erro" error="F não pode ser Superior a MF" sqref="K203">
      <formula1>J203</formula1>
    </dataValidation>
    <dataValidation type="whole" operator="lessThanOrEqual" allowBlank="1" showErrorMessage="1" errorTitle="Mensagem de Erro" error="F não pode ser Superior a MF" sqref="K204">
      <formula1>J204</formula1>
    </dataValidation>
    <dataValidation type="whole" operator="lessThanOrEqual" allowBlank="1" showErrorMessage="1" errorTitle="Mensagem de Erro" error="F não pode ser Superior a MF" sqref="K205">
      <formula1>J205</formula1>
    </dataValidation>
    <dataValidation type="whole" operator="lessThanOrEqual" allowBlank="1" showErrorMessage="1" errorTitle="Mensagem de Erro" error="F não pode ser Superior a MF" sqref="K206">
      <formula1>J206</formula1>
    </dataValidation>
    <dataValidation type="whole" operator="lessThanOrEqual" allowBlank="1" showErrorMessage="1" errorTitle="Mensagem de Erro" error="F não pode ser Superior a MF" sqref="K207">
      <formula1>J207</formula1>
    </dataValidation>
    <dataValidation type="whole" operator="lessThanOrEqual" allowBlank="1" showErrorMessage="1" errorTitle="Mensagem de Erro" error="F não pode ser Superior a MF" sqref="K208">
      <formula1>J208</formula1>
    </dataValidation>
    <dataValidation type="whole" operator="lessThanOrEqual" allowBlank="1" showErrorMessage="1" errorTitle="Mensagem de Erro" error="F não pode ser Superior a MF" sqref="K209">
      <formula1>J209</formula1>
    </dataValidation>
    <dataValidation type="whole" operator="lessThanOrEqual" allowBlank="1" showErrorMessage="1" errorTitle="Mensagem de Erro" error="F não pode ser Superior a MF" sqref="K21">
      <formula1>J21</formula1>
    </dataValidation>
    <dataValidation type="whole" operator="lessThanOrEqual" allowBlank="1" showErrorMessage="1" errorTitle="Mensagem de Erro" error="F não pode ser Superior a MF" sqref="K210">
      <formula1>J210</formula1>
    </dataValidation>
    <dataValidation type="whole" operator="lessThanOrEqual" allowBlank="1" showErrorMessage="1" errorTitle="Mensagem de Erro" error="F não pode ser Superior a MF" sqref="K211">
      <formula1>J211</formula1>
    </dataValidation>
    <dataValidation type="whole" operator="lessThanOrEqual" allowBlank="1" showErrorMessage="1" errorTitle="Mensagem de Erro" error="F não pode ser Superior a MF" sqref="K212">
      <formula1>J212</formula1>
    </dataValidation>
    <dataValidation type="whole" operator="lessThanOrEqual" allowBlank="1" showErrorMessage="1" errorTitle="Mensagem de Erro" error="F não pode ser Superior a MF" sqref="K213">
      <formula1>J213</formula1>
    </dataValidation>
    <dataValidation type="whole" operator="lessThanOrEqual" allowBlank="1" showErrorMessage="1" errorTitle="Mensagem de Erro" error="F não pode ser Superior a MF" sqref="K214">
      <formula1>J214</formula1>
    </dataValidation>
    <dataValidation type="whole" operator="lessThanOrEqual" allowBlank="1" showErrorMessage="1" errorTitle="Mensagem de Erro" error="F não pode ser Superior a MF" sqref="K215">
      <formula1>J215</formula1>
    </dataValidation>
    <dataValidation type="whole" operator="lessThanOrEqual" allowBlank="1" showErrorMessage="1" errorTitle="Mensagem de Erro" error="F não pode ser Superior a MF" sqref="K216">
      <formula1>J216</formula1>
    </dataValidation>
    <dataValidation type="whole" operator="lessThanOrEqual" allowBlank="1" showErrorMessage="1" errorTitle="Mensagem de Erro" error="F não pode ser Superior a MF" sqref="K217">
      <formula1>J217</formula1>
    </dataValidation>
    <dataValidation type="whole" operator="lessThanOrEqual" allowBlank="1" showErrorMessage="1" errorTitle="Mensagem de Erro" error="F não pode ser Superior a MF" sqref="K218">
      <formula1>J218</formula1>
    </dataValidation>
    <dataValidation type="whole" operator="lessThanOrEqual" allowBlank="1" showErrorMessage="1" errorTitle="Mensagem de Erro" error="F não pode ser Superior a MF" sqref="K219">
      <formula1>J219</formula1>
    </dataValidation>
    <dataValidation type="whole" operator="lessThanOrEqual" allowBlank="1" showErrorMessage="1" errorTitle="Mensagem de Erro" error="F não pode ser Superior a MF" sqref="K22">
      <formula1>J22</formula1>
    </dataValidation>
    <dataValidation type="whole" operator="lessThanOrEqual" allowBlank="1" showErrorMessage="1" errorTitle="Mensagem de Erro" error="F não pode ser Superior a MF" sqref="K220">
      <formula1>J220</formula1>
    </dataValidation>
    <dataValidation type="whole" operator="lessThanOrEqual" allowBlank="1" showErrorMessage="1" errorTitle="Mensagem de Erro" error="F não pode ser Superior a MF" sqref="K221">
      <formula1>J221</formula1>
    </dataValidation>
    <dataValidation type="whole" operator="lessThanOrEqual" allowBlank="1" showErrorMessage="1" errorTitle="Mensagem de Erro" error="F não pode ser Superior a MF" sqref="K222">
      <formula1>J222</formula1>
    </dataValidation>
    <dataValidation type="whole" operator="lessThanOrEqual" allowBlank="1" showErrorMessage="1" errorTitle="Mensagem de Erro" error="F não pode ser Superior a MF" sqref="K223">
      <formula1>J223</formula1>
    </dataValidation>
    <dataValidation type="whole" operator="lessThanOrEqual" allowBlank="1" showErrorMessage="1" errorTitle="Mensagem de Erro" error="F não pode ser Superior a MF" sqref="K224">
      <formula1>J224</formula1>
    </dataValidation>
    <dataValidation type="whole" operator="lessThanOrEqual" allowBlank="1" showErrorMessage="1" errorTitle="Mensagem de Erro" error="F não pode ser Superior a MF" sqref="K225">
      <formula1>J225</formula1>
    </dataValidation>
    <dataValidation type="whole" operator="lessThanOrEqual" allowBlank="1" showErrorMessage="1" errorTitle="Mensagem de Erro" error="F não pode ser Superior a MF" sqref="K226">
      <formula1>J226</formula1>
    </dataValidation>
    <dataValidation type="whole" operator="lessThanOrEqual" allowBlank="1" showErrorMessage="1" errorTitle="Mensagem de Erro" error="F não pode ser Superior a MF" sqref="K227">
      <formula1>J227</formula1>
    </dataValidation>
    <dataValidation type="whole" operator="lessThanOrEqual" allowBlank="1" showErrorMessage="1" errorTitle="Mensagem de Erro" error="F não pode ser Superior a MF" sqref="K228">
      <formula1>J228</formula1>
    </dataValidation>
    <dataValidation type="whole" operator="lessThanOrEqual" allowBlank="1" showErrorMessage="1" errorTitle="Mensagem de Erro" error="F não pode ser Superior a MF" sqref="K229">
      <formula1>J229</formula1>
    </dataValidation>
    <dataValidation type="whole" operator="lessThanOrEqual" allowBlank="1" showErrorMessage="1" errorTitle="Mensagem de Erro" error="F não pode ser Superior a MF" sqref="K23">
      <formula1>J23</formula1>
    </dataValidation>
    <dataValidation type="whole" operator="lessThanOrEqual" allowBlank="1" showErrorMessage="1" errorTitle="Mensagem de Erro" error="F não pode ser Superior a MF" sqref="K230">
      <formula1>J230</formula1>
    </dataValidation>
    <dataValidation type="whole" operator="lessThanOrEqual" allowBlank="1" showErrorMessage="1" errorTitle="Mensagem de Erro" error="F não pode ser Superior a MF" sqref="K231">
      <formula1>J231</formula1>
    </dataValidation>
    <dataValidation type="whole" operator="lessThanOrEqual" allowBlank="1" showErrorMessage="1" errorTitle="Mensagem de Erro" error="F não pode ser Superior a MF" sqref="K232">
      <formula1>J232</formula1>
    </dataValidation>
    <dataValidation type="whole" operator="lessThanOrEqual" allowBlank="1" showErrorMessage="1" errorTitle="Mensagem de Erro" error="F não pode ser Superior a MF" sqref="K233">
      <formula1>J233</formula1>
    </dataValidation>
    <dataValidation type="whole" operator="lessThanOrEqual" allowBlank="1" showErrorMessage="1" errorTitle="Mensagem de Erro" error="F não pode ser Superior a MF" sqref="K234">
      <formula1>J234</formula1>
    </dataValidation>
    <dataValidation type="whole" operator="lessThanOrEqual" allowBlank="1" showErrorMessage="1" errorTitle="Mensagem de Erro" error="F não pode ser Superior a MF" sqref="K235">
      <formula1>J235</formula1>
    </dataValidation>
    <dataValidation type="whole" operator="lessThanOrEqual" allowBlank="1" showErrorMessage="1" errorTitle="Mensagem de Erro" error="F não pode ser Superior a MF" sqref="K236">
      <formula1>J236</formula1>
    </dataValidation>
    <dataValidation type="whole" operator="lessThanOrEqual" allowBlank="1" showErrorMessage="1" errorTitle="Mensagem de Erro" error="F não pode ser Superior a MF" sqref="K237">
      <formula1>J237</formula1>
    </dataValidation>
    <dataValidation type="whole" operator="lessThanOrEqual" allowBlank="1" showErrorMessage="1" errorTitle="Mensagem de Erro" error="F não pode ser Superior a MF" sqref="K238">
      <formula1>J238</formula1>
    </dataValidation>
    <dataValidation type="whole" operator="lessThanOrEqual" allowBlank="1" showErrorMessage="1" errorTitle="Mensagem de Erro" error="F não pode ser Superior a MF" sqref="K239">
      <formula1>J239</formula1>
    </dataValidation>
    <dataValidation type="whole" operator="lessThanOrEqual" allowBlank="1" showErrorMessage="1" errorTitle="Mensagem de Erro" error="F não pode ser Superior a MF" sqref="K24">
      <formula1>J24</formula1>
    </dataValidation>
    <dataValidation type="whole" operator="lessThanOrEqual" allowBlank="1" showErrorMessage="1" errorTitle="Mensagem de Erro" error="F não pode ser Superior a MF" sqref="K240">
      <formula1>J240</formula1>
    </dataValidation>
    <dataValidation type="whole" operator="lessThanOrEqual" allowBlank="1" showErrorMessage="1" errorTitle="Mensagem de Erro" error="F não pode ser Superior a MF" sqref="K241">
      <formula1>J241</formula1>
    </dataValidation>
    <dataValidation type="whole" operator="lessThanOrEqual" allowBlank="1" showErrorMessage="1" errorTitle="Mensagem de Erro" error="F não pode ser Superior a MF" sqref="K242">
      <formula1>J242</formula1>
    </dataValidation>
    <dataValidation type="whole" operator="lessThanOrEqual" allowBlank="1" showErrorMessage="1" errorTitle="Mensagem de Erro" error="F não pode ser Superior a MF" sqref="K243">
      <formula1>J243</formula1>
    </dataValidation>
    <dataValidation type="whole" operator="lessThanOrEqual" allowBlank="1" showErrorMessage="1" errorTitle="Mensagem de Erro" error="F não pode ser Superior a MF" sqref="K244">
      <formula1>J244</formula1>
    </dataValidation>
    <dataValidation type="whole" operator="lessThanOrEqual" allowBlank="1" showErrorMessage="1" errorTitle="Mensagem de Erro" error="F não pode ser Superior a MF" sqref="K245">
      <formula1>J245</formula1>
    </dataValidation>
    <dataValidation type="whole" operator="lessThanOrEqual" allowBlank="1" showErrorMessage="1" errorTitle="Mensagem de Erro" error="F não pode ser Superior a MF" sqref="K246">
      <formula1>J246</formula1>
    </dataValidation>
    <dataValidation type="whole" operator="lessThanOrEqual" allowBlank="1" showErrorMessage="1" errorTitle="Mensagem de Erro" error="F não pode ser Superior a MF" sqref="K247">
      <formula1>J247</formula1>
    </dataValidation>
    <dataValidation type="whole" operator="lessThanOrEqual" allowBlank="1" showErrorMessage="1" errorTitle="Mensagem de Erro" error="F não pode ser Superior a MF" sqref="K248">
      <formula1>J248</formula1>
    </dataValidation>
    <dataValidation type="whole" operator="lessThanOrEqual" allowBlank="1" showErrorMessage="1" errorTitle="Mensagem de Erro" error="F não pode ser Superior a MF" sqref="K249">
      <formula1>J249</formula1>
    </dataValidation>
    <dataValidation type="whole" operator="lessThanOrEqual" allowBlank="1" showErrorMessage="1" errorTitle="Mensagem de Erro" error="F não pode ser Superior a MF" sqref="K25">
      <formula1>J25</formula1>
    </dataValidation>
    <dataValidation type="whole" operator="lessThanOrEqual" allowBlank="1" showErrorMessage="1" errorTitle="Mensagem de Erro" error="F não pode ser Superior a MF" sqref="K250">
      <formula1>J250</formula1>
    </dataValidation>
    <dataValidation type="whole" operator="lessThanOrEqual" allowBlank="1" showErrorMessage="1" errorTitle="Mensagem de Erro" error="F não pode ser Superior a MF" sqref="K251">
      <formula1>J251</formula1>
    </dataValidation>
    <dataValidation type="whole" operator="lessThanOrEqual" allowBlank="1" showErrorMessage="1" errorTitle="Mensagem de Erro" error="F não pode ser Superior a MF" sqref="K252">
      <formula1>J252</formula1>
    </dataValidation>
    <dataValidation type="whole" operator="lessThanOrEqual" allowBlank="1" showErrorMessage="1" errorTitle="Mensagem de Erro" error="F não pode ser Superior a MF" sqref="K253">
      <formula1>J253</formula1>
    </dataValidation>
    <dataValidation type="whole" operator="lessThanOrEqual" allowBlank="1" showErrorMessage="1" errorTitle="Mensagem de Erro" error="F não pode ser Superior a MF" sqref="K254">
      <formula1>J254</formula1>
    </dataValidation>
    <dataValidation type="whole" operator="lessThanOrEqual" allowBlank="1" showErrorMessage="1" errorTitle="Mensagem de Erro" error="F não pode ser Superior a MF" sqref="K255">
      <formula1>J255</formula1>
    </dataValidation>
    <dataValidation type="whole" operator="lessThanOrEqual" allowBlank="1" showErrorMessage="1" errorTitle="Mensagem de Erro" error="F não pode ser Superior a MF" sqref="K256">
      <formula1>J256</formula1>
    </dataValidation>
    <dataValidation type="whole" operator="lessThanOrEqual" allowBlank="1" showErrorMessage="1" errorTitle="Mensagem de Erro" error="F não pode ser Superior a MF" sqref="K257">
      <formula1>J257</formula1>
    </dataValidation>
    <dataValidation type="whole" operator="lessThanOrEqual" allowBlank="1" showErrorMessage="1" errorTitle="Mensagem de Erro" error="F não pode ser Superior a MF" sqref="K258">
      <formula1>J258</formula1>
    </dataValidation>
    <dataValidation type="whole" operator="lessThanOrEqual" allowBlank="1" showErrorMessage="1" errorTitle="Mensagem de Erro" error="F não pode ser Superior a MF" sqref="K259">
      <formula1>J259</formula1>
    </dataValidation>
    <dataValidation type="whole" operator="lessThanOrEqual" allowBlank="1" showErrorMessage="1" errorTitle="Mensagem de Erro" error="F não pode ser Superior a MF" sqref="K26">
      <formula1>J26</formula1>
    </dataValidation>
    <dataValidation type="whole" operator="lessThanOrEqual" allowBlank="1" showErrorMessage="1" errorTitle="Mensagem de Erro" error="F não pode ser Superior a MF" sqref="K260">
      <formula1>J260</formula1>
    </dataValidation>
    <dataValidation type="whole" operator="lessThanOrEqual" allowBlank="1" showErrorMessage="1" errorTitle="Mensagem de Erro" error="F não pode ser Superior a MF" sqref="K261">
      <formula1>J261</formula1>
    </dataValidation>
    <dataValidation type="whole" operator="lessThanOrEqual" allowBlank="1" showErrorMessage="1" errorTitle="Mensagem de Erro" error="F não pode ser Superior a MF" sqref="K262">
      <formula1>J262</formula1>
    </dataValidation>
    <dataValidation type="whole" operator="lessThanOrEqual" allowBlank="1" showErrorMessage="1" errorTitle="Mensagem de Erro" error="F não pode ser Superior a MF" sqref="K263">
      <formula1>J263</formula1>
    </dataValidation>
    <dataValidation type="whole" operator="lessThanOrEqual" allowBlank="1" showErrorMessage="1" errorTitle="Mensagem de Erro" error="F não pode ser Superior a MF" sqref="K264">
      <formula1>J264</formula1>
    </dataValidation>
    <dataValidation type="whole" operator="lessThanOrEqual" allowBlank="1" showErrorMessage="1" errorTitle="Mensagem de Erro" error="F não pode ser Superior a MF" sqref="K265">
      <formula1>J265</formula1>
    </dataValidation>
    <dataValidation type="whole" operator="lessThanOrEqual" allowBlank="1" showErrorMessage="1" errorTitle="Mensagem de Erro" error="F não pode ser Superior a MF" sqref="K266">
      <formula1>J266</formula1>
    </dataValidation>
    <dataValidation type="whole" operator="lessThanOrEqual" allowBlank="1" showErrorMessage="1" errorTitle="Mensagem de Erro" error="F não pode ser Superior a MF" sqref="K267">
      <formula1>J267</formula1>
    </dataValidation>
    <dataValidation type="whole" operator="lessThanOrEqual" allowBlank="1" showErrorMessage="1" errorTitle="Mensagem de Erro" error="F não pode ser Superior a MF" sqref="K268">
      <formula1>J268</formula1>
    </dataValidation>
    <dataValidation type="whole" operator="lessThanOrEqual" allowBlank="1" showErrorMessage="1" errorTitle="Mensagem de Erro" error="F não pode ser Superior a MF" sqref="K269">
      <formula1>J269</formula1>
    </dataValidation>
    <dataValidation type="whole" operator="lessThanOrEqual" allowBlank="1" showErrorMessage="1" errorTitle="Mensagem de Erro" error="F não pode ser Superior a MF" sqref="K27">
      <formula1>J27</formula1>
    </dataValidation>
    <dataValidation type="whole" operator="lessThanOrEqual" allowBlank="1" showErrorMessage="1" errorTitle="Mensagem de Erro" error="F não pode ser Superior a MF" sqref="K270">
      <formula1>J270</formula1>
    </dataValidation>
    <dataValidation type="whole" operator="lessThanOrEqual" allowBlank="1" showErrorMessage="1" errorTitle="Mensagem de Erro" error="F não pode ser Superior a MF" sqref="K271">
      <formula1>J271</formula1>
    </dataValidation>
    <dataValidation type="whole" operator="lessThanOrEqual" allowBlank="1" showErrorMessage="1" errorTitle="Mensagem de Erro" error="F não pode ser Superior a MF" sqref="K272">
      <formula1>J272</formula1>
    </dataValidation>
    <dataValidation type="whole" operator="lessThanOrEqual" allowBlank="1" showErrorMessage="1" errorTitle="Mensagem de Erro" error="F não pode ser Superior a MF" sqref="K273">
      <formula1>J273</formula1>
    </dataValidation>
    <dataValidation type="whole" operator="lessThanOrEqual" allowBlank="1" showErrorMessage="1" errorTitle="Mensagem de Erro" error="F não pode ser Superior a MF" sqref="K274">
      <formula1>J274</formula1>
    </dataValidation>
    <dataValidation type="whole" operator="lessThanOrEqual" allowBlank="1" showErrorMessage="1" errorTitle="Mensagem de Erro" error="F não pode ser Superior a MF" sqref="K277">
      <formula1>J277</formula1>
    </dataValidation>
    <dataValidation type="whole" operator="lessThanOrEqual" allowBlank="1" showErrorMessage="1" errorTitle="Mensagem de Erro" error="F não pode ser Superior a MF" sqref="K278">
      <formula1>J278</formula1>
    </dataValidation>
    <dataValidation type="whole" operator="lessThanOrEqual" allowBlank="1" showErrorMessage="1" errorTitle="Mensagem de Erro" error="F não pode ser Superior a MF" sqref="K279">
      <formula1>J279</formula1>
    </dataValidation>
    <dataValidation type="whole" operator="lessThanOrEqual" allowBlank="1" showErrorMessage="1" errorTitle="Mensagem de Erro" error="F não pode ser Superior a MF" sqref="K28">
      <formula1>J28</formula1>
    </dataValidation>
    <dataValidation type="whole" operator="lessThanOrEqual" allowBlank="1" showErrorMessage="1" errorTitle="Mensagem de Erro" error="F não pode ser Superior a MF" sqref="K280">
      <formula1>J280</formula1>
    </dataValidation>
    <dataValidation type="whole" operator="lessThanOrEqual" allowBlank="1" showErrorMessage="1" errorTitle="Mensagem de Erro" error="F não pode ser Superior a MF" sqref="K281">
      <formula1>J281</formula1>
    </dataValidation>
    <dataValidation type="whole" operator="lessThanOrEqual" allowBlank="1" showErrorMessage="1" errorTitle="Mensagem de Erro" error="F não pode ser Superior a MF" sqref="K282">
      <formula1>J282</formula1>
    </dataValidation>
    <dataValidation type="whole" operator="lessThanOrEqual" allowBlank="1" showErrorMessage="1" errorTitle="Mensagem de Erro" error="F não pode ser Superior a MF" sqref="K283">
      <formula1>J283</formula1>
    </dataValidation>
    <dataValidation type="whole" operator="lessThanOrEqual" allowBlank="1" showErrorMessage="1" errorTitle="Mensagem de Erro" error="F não pode ser Superior a MF" sqref="K284">
      <formula1>J284</formula1>
    </dataValidation>
    <dataValidation type="whole" operator="lessThanOrEqual" allowBlank="1" showErrorMessage="1" errorTitle="Mensagem de Erro" error="F não pode ser Superior a MF" sqref="K285">
      <formula1>J285</formula1>
    </dataValidation>
    <dataValidation type="whole" operator="lessThanOrEqual" allowBlank="1" showErrorMessage="1" errorTitle="Mensagem de Erro" error="F não pode ser Superior a MF" sqref="K286">
      <formula1>J286</formula1>
    </dataValidation>
    <dataValidation type="whole" operator="lessThanOrEqual" allowBlank="1" showErrorMessage="1" errorTitle="Mensagem de Erro" error="F não pode ser Superior a MF" sqref="K287">
      <formula1>J287</formula1>
    </dataValidation>
    <dataValidation type="whole" operator="lessThanOrEqual" allowBlank="1" showErrorMessage="1" errorTitle="Mensagem de Erro" error="F não pode ser Superior a MF" sqref="K288">
      <formula1>J288</formula1>
    </dataValidation>
    <dataValidation type="whole" operator="lessThanOrEqual" allowBlank="1" showErrorMessage="1" errorTitle="Mensagem de Erro" error="F não pode ser Superior a MF" sqref="K289">
      <formula1>J289</formula1>
    </dataValidation>
    <dataValidation type="whole" operator="lessThanOrEqual" allowBlank="1" showErrorMessage="1" errorTitle="Mensagem de Erro" error="F não pode ser Superior a MF" sqref="K29">
      <formula1>J29</formula1>
    </dataValidation>
    <dataValidation type="whole" operator="lessThanOrEqual" allowBlank="1" showErrorMessage="1" errorTitle="Mensagem de Erro" error="F não pode ser Superior a MF" sqref="K290">
      <formula1>J290</formula1>
    </dataValidation>
    <dataValidation type="whole" operator="lessThanOrEqual" allowBlank="1" showErrorMessage="1" errorTitle="Mensagem de Erro" error="F não pode ser Superior a MF" sqref="K291">
      <formula1>J291</formula1>
    </dataValidation>
    <dataValidation type="whole" operator="lessThanOrEqual" allowBlank="1" showErrorMessage="1" errorTitle="Mensagem de Erro" error="F não pode ser Superior a MF" sqref="K292">
      <formula1>J292</formula1>
    </dataValidation>
    <dataValidation type="whole" operator="lessThanOrEqual" allowBlank="1" showErrorMessage="1" errorTitle="Mensagem de Erro" error="F não pode ser Superior a MF" sqref="K293">
      <formula1>J293</formula1>
    </dataValidation>
    <dataValidation type="whole" operator="lessThanOrEqual" allowBlank="1" showErrorMessage="1" errorTitle="Mensagem de Erro" error="F não pode ser Superior a MF" sqref="K294">
      <formula1>J294</formula1>
    </dataValidation>
    <dataValidation type="whole" operator="lessThanOrEqual" allowBlank="1" showErrorMessage="1" errorTitle="Mensagem de Erro" error="F não pode ser Superior a MF" sqref="K295">
      <formula1>J295</formula1>
    </dataValidation>
    <dataValidation type="whole" operator="lessThanOrEqual" allowBlank="1" showErrorMessage="1" errorTitle="Mensagem de Erro" error="F não pode ser Superior a MF" sqref="K296">
      <formula1>J296</formula1>
    </dataValidation>
    <dataValidation type="whole" operator="lessThanOrEqual" allowBlank="1" showErrorMessage="1" errorTitle="Mensagem de Erro" error="F não pode ser Superior a MF" sqref="K297">
      <formula1>J297</formula1>
    </dataValidation>
    <dataValidation type="whole" operator="lessThanOrEqual" allowBlank="1" showErrorMessage="1" errorTitle="Mensagem de Erro" error="F não pode ser Superior a MF" sqref="K298">
      <formula1>J298</formula1>
    </dataValidation>
    <dataValidation type="whole" operator="lessThanOrEqual" allowBlank="1" showErrorMessage="1" errorTitle="Mensagem de Erro" error="F não pode ser Superior a MF" sqref="K299">
      <formula1>J299</formula1>
    </dataValidation>
    <dataValidation type="whole" operator="lessThanOrEqual" allowBlank="1" showErrorMessage="1" errorTitle="Mensagem de Erro" error="F não pode ser Superior a MF" sqref="K30">
      <formula1>J30</formula1>
    </dataValidation>
    <dataValidation type="whole" operator="lessThanOrEqual" allowBlank="1" showErrorMessage="1" errorTitle="Mensagem de Erro" error="F não pode ser Superior a MF" sqref="K300">
      <formula1>J300</formula1>
    </dataValidation>
    <dataValidation type="whole" operator="lessThanOrEqual" allowBlank="1" showErrorMessage="1" errorTitle="Mensagem de Erro" error="F não pode ser Superior a MF" sqref="K301">
      <formula1>J301</formula1>
    </dataValidation>
    <dataValidation type="whole" operator="lessThanOrEqual" allowBlank="1" showErrorMessage="1" errorTitle="Mensagem de Erro" error="F não pode ser Superior a MF" sqref="K302">
      <formula1>J302</formula1>
    </dataValidation>
    <dataValidation type="whole" operator="lessThanOrEqual" allowBlank="1" showErrorMessage="1" errorTitle="Mensagem de Erro" error="F não pode ser Superior a MF" sqref="K303">
      <formula1>J303</formula1>
    </dataValidation>
    <dataValidation type="whole" operator="lessThanOrEqual" allowBlank="1" showErrorMessage="1" errorTitle="Mensagem de Erro" error="F não pode ser Superior a MF" sqref="K304">
      <formula1>J304</formula1>
    </dataValidation>
    <dataValidation type="whole" operator="lessThanOrEqual" allowBlank="1" showErrorMessage="1" errorTitle="Mensagem de Erro" error="F não pode ser Superior a MF" sqref="K305">
      <formula1>J305</formula1>
    </dataValidation>
    <dataValidation type="whole" operator="lessThanOrEqual" allowBlank="1" showErrorMessage="1" errorTitle="Mensagem de Erro" error="F não pode ser Superior a MF" sqref="K306">
      <formula1>J306</formula1>
    </dataValidation>
    <dataValidation type="whole" operator="lessThanOrEqual" allowBlank="1" showErrorMessage="1" errorTitle="Mensagem de Erro" error="F não pode ser Superior a MF" sqref="K307">
      <formula1>J307</formula1>
    </dataValidation>
    <dataValidation type="whole" operator="lessThanOrEqual" allowBlank="1" showErrorMessage="1" errorTitle="Mensagem de Erro" error="F não pode ser Superior a MF" sqref="K308">
      <formula1>J308</formula1>
    </dataValidation>
    <dataValidation type="whole" operator="lessThanOrEqual" allowBlank="1" showErrorMessage="1" errorTitle="Mensagem de Erro" error="F não pode ser Superior a MF" sqref="K309">
      <formula1>J309</formula1>
    </dataValidation>
    <dataValidation type="whole" operator="lessThanOrEqual" allowBlank="1" showErrorMessage="1" errorTitle="Mensagem de Erro" error="F não pode ser Superior a MF" sqref="K31">
      <formula1>J31</formula1>
    </dataValidation>
    <dataValidation type="whole" operator="lessThanOrEqual" allowBlank="1" showErrorMessage="1" errorTitle="Mensagem de Erro" error="F não pode ser Superior a MF" sqref="K310">
      <formula1>J310</formula1>
    </dataValidation>
    <dataValidation type="whole" operator="lessThanOrEqual" allowBlank="1" showErrorMessage="1" errorTitle="Mensagem de Erro" error="F não pode ser Superior a MF" sqref="K311">
      <formula1>J311</formula1>
    </dataValidation>
    <dataValidation type="whole" operator="lessThanOrEqual" allowBlank="1" showErrorMessage="1" errorTitle="Mensagem de Erro" error="F não pode ser Superior a MF" sqref="K312">
      <formula1>J312</formula1>
    </dataValidation>
    <dataValidation type="whole" operator="lessThanOrEqual" allowBlank="1" showErrorMessage="1" errorTitle="Mensagem de Erro" error="F não pode ser Superior a MF" sqref="K313">
      <formula1>J313</formula1>
    </dataValidation>
    <dataValidation type="whole" operator="lessThanOrEqual" allowBlank="1" showErrorMessage="1" errorTitle="Mensagem de Erro" error="F não pode ser Superior a MF" sqref="K314">
      <formula1>J314</formula1>
    </dataValidation>
    <dataValidation type="whole" operator="lessThanOrEqual" allowBlank="1" showErrorMessage="1" errorTitle="Mensagem de Erro" error="F não pode ser Superior a MF" sqref="K315">
      <formula1>J315</formula1>
    </dataValidation>
    <dataValidation type="whole" operator="lessThanOrEqual" allowBlank="1" showErrorMessage="1" errorTitle="Mensagem de Erro" error="F não pode ser Superior a MF" sqref="K316">
      <formula1>J316</formula1>
    </dataValidation>
    <dataValidation type="whole" operator="lessThanOrEqual" allowBlank="1" showErrorMessage="1" errorTitle="Mensagem de Erro" error="F não pode ser Superior a MF" sqref="K317">
      <formula1>J317</formula1>
    </dataValidation>
    <dataValidation type="whole" operator="lessThanOrEqual" allowBlank="1" showErrorMessage="1" errorTitle="Mensagem de Erro" error="F não pode ser Superior a MF" sqref="K318">
      <formula1>J318</formula1>
    </dataValidation>
    <dataValidation type="whole" operator="lessThanOrEqual" allowBlank="1" showErrorMessage="1" errorTitle="Mensagem de Erro" error="F não pode ser Superior a MF" sqref="K319">
      <formula1>J319</formula1>
    </dataValidation>
    <dataValidation type="whole" operator="lessThanOrEqual" allowBlank="1" showErrorMessage="1" errorTitle="Mensagem de Erro" error="F não pode ser Superior a MF" sqref="K32">
      <formula1>J32</formula1>
    </dataValidation>
    <dataValidation type="whole" operator="lessThanOrEqual" allowBlank="1" showErrorMessage="1" errorTitle="Mensagem de Erro" error="F não pode ser Superior a MF" sqref="K320">
      <formula1>J320</formula1>
    </dataValidation>
    <dataValidation type="whole" operator="lessThanOrEqual" allowBlank="1" showErrorMessage="1" errorTitle="Mensagem de Erro" error="F não pode ser Superior a MF" sqref="K321">
      <formula1>J321</formula1>
    </dataValidation>
    <dataValidation type="whole" operator="lessThanOrEqual" allowBlank="1" showErrorMessage="1" errorTitle="Mensagem de Erro" error="F não pode ser Superior a MF" sqref="K322">
      <formula1>J322</formula1>
    </dataValidation>
    <dataValidation type="whole" operator="lessThanOrEqual" allowBlank="1" showErrorMessage="1" errorTitle="Mensagem de Erro" error="F não pode ser Superior a MF" sqref="K323">
      <formula1>J323</formula1>
    </dataValidation>
    <dataValidation type="whole" operator="lessThanOrEqual" allowBlank="1" showErrorMessage="1" errorTitle="Mensagem de Erro" error="F não pode ser Superior a MF" sqref="K324">
      <formula1>J324</formula1>
    </dataValidation>
    <dataValidation type="whole" operator="lessThanOrEqual" allowBlank="1" showErrorMessage="1" errorTitle="Mensagem de Erro" error="F não pode ser Superior a MF" sqref="K325">
      <formula1>J325</formula1>
    </dataValidation>
    <dataValidation type="whole" operator="lessThanOrEqual" allowBlank="1" showErrorMessage="1" errorTitle="Mensagem de Erro" error="F não pode ser Superior a MF" sqref="K326">
      <formula1>J326</formula1>
    </dataValidation>
    <dataValidation type="whole" operator="lessThanOrEqual" allowBlank="1" showErrorMessage="1" errorTitle="Mensagem de Erro" error="F não pode ser Superior a MF" sqref="K329">
      <formula1>J329</formula1>
    </dataValidation>
    <dataValidation type="whole" operator="lessThanOrEqual" allowBlank="1" showErrorMessage="1" errorTitle="Mensagem de Erro" error="F não pode ser Superior a MF" sqref="K33">
      <formula1>J33</formula1>
    </dataValidation>
    <dataValidation type="whole" operator="lessThanOrEqual" allowBlank="1" showErrorMessage="1" errorTitle="Mensagem de Erro" error="F não pode ser Superior a MF" sqref="K330">
      <formula1>J330</formula1>
    </dataValidation>
    <dataValidation type="whole" operator="lessThanOrEqual" allowBlank="1" showErrorMessage="1" errorTitle="Mensagem de Erro" error="F não pode ser Superior a MF" sqref="K331">
      <formula1>J331</formula1>
    </dataValidation>
    <dataValidation type="whole" operator="lessThanOrEqual" allowBlank="1" showErrorMessage="1" errorTitle="Mensagem de Erro" error="F não pode ser Superior a MF" sqref="K332">
      <formula1>J332</formula1>
    </dataValidation>
    <dataValidation type="whole" operator="lessThanOrEqual" allowBlank="1" showErrorMessage="1" errorTitle="Mensagem de Erro" error="F não pode ser Superior a MF" sqref="K333">
      <formula1>J333</formula1>
    </dataValidation>
    <dataValidation type="whole" operator="lessThanOrEqual" allowBlank="1" showErrorMessage="1" errorTitle="Mensagem de Erro" error="F não pode ser Superior a MF" sqref="K334">
      <formula1>J334</formula1>
    </dataValidation>
    <dataValidation type="whole" operator="lessThanOrEqual" allowBlank="1" showErrorMessage="1" errorTitle="Mensagem de Erro" error="F não pode ser Superior a MF" sqref="K335">
      <formula1>J335</formula1>
    </dataValidation>
    <dataValidation type="whole" operator="lessThanOrEqual" allowBlank="1" showErrorMessage="1" errorTitle="Mensagem de Erro" error="F não pode ser Superior a MF" sqref="K336">
      <formula1>J336</formula1>
    </dataValidation>
    <dataValidation type="whole" operator="lessThanOrEqual" allowBlank="1" showErrorMessage="1" errorTitle="Mensagem de Erro" error="F não pode ser Superior a MF" sqref="K337">
      <formula1>J337</formula1>
    </dataValidation>
    <dataValidation type="whole" operator="lessThanOrEqual" allowBlank="1" showErrorMessage="1" errorTitle="Mensagem de Erro" error="F não pode ser Superior a MF" sqref="K338">
      <formula1>J338</formula1>
    </dataValidation>
    <dataValidation type="whole" operator="lessThanOrEqual" allowBlank="1" showErrorMessage="1" errorTitle="Mensagem de Erro" error="F não pode ser Superior a MF" sqref="K339">
      <formula1>J339</formula1>
    </dataValidation>
    <dataValidation type="whole" operator="lessThanOrEqual" allowBlank="1" showErrorMessage="1" errorTitle="Mensagem de Erro" error="F não pode ser Superior a MF" sqref="K34">
      <formula1>J34</formula1>
    </dataValidation>
    <dataValidation type="whole" operator="lessThanOrEqual" allowBlank="1" showErrorMessage="1" errorTitle="Mensagem de Erro" error="F não pode ser Superior a MF" sqref="K340">
      <formula1>J340</formula1>
    </dataValidation>
    <dataValidation type="whole" operator="lessThanOrEqual" allowBlank="1" showErrorMessage="1" errorTitle="Mensagem de Erro" error="F não pode ser Superior a MF" sqref="K341">
      <formula1>J341</formula1>
    </dataValidation>
    <dataValidation type="whole" operator="lessThanOrEqual" allowBlank="1" showErrorMessage="1" errorTitle="Mensagem de Erro" error="F não pode ser Superior a MF" sqref="K342">
      <formula1>J342</formula1>
    </dataValidation>
    <dataValidation type="whole" operator="lessThanOrEqual" allowBlank="1" showErrorMessage="1" errorTitle="Mensagem de Erro" error="F não pode ser Superior a MF" sqref="K343">
      <formula1>J343</formula1>
    </dataValidation>
    <dataValidation type="whole" operator="lessThanOrEqual" allowBlank="1" showErrorMessage="1" errorTitle="Mensagem de Erro" error="F não pode ser Superior a MF" sqref="K344">
      <formula1>J344</formula1>
    </dataValidation>
    <dataValidation type="whole" operator="lessThanOrEqual" allowBlank="1" showErrorMessage="1" errorTitle="Mensagem de Erro" error="F não pode ser Superior a MF" sqref="K345">
      <formula1>J345</formula1>
    </dataValidation>
    <dataValidation type="whole" operator="lessThanOrEqual" allowBlank="1" showErrorMessage="1" errorTitle="Mensagem de Erro" error="F não pode ser Superior a MF" sqref="K346">
      <formula1>J346</formula1>
    </dataValidation>
    <dataValidation type="whole" operator="lessThanOrEqual" allowBlank="1" showErrorMessage="1" errorTitle="Mensagem de Erro" error="F não pode ser Superior a MF" sqref="K347">
      <formula1>J347</formula1>
    </dataValidation>
    <dataValidation type="whole" operator="lessThanOrEqual" allowBlank="1" showErrorMessage="1" errorTitle="Mensagem de Erro" error="F não pode ser Superior a MF" sqref="K348">
      <formula1>J348</formula1>
    </dataValidation>
    <dataValidation type="whole" operator="lessThanOrEqual" allowBlank="1" showErrorMessage="1" errorTitle="Mensagem de Erro" error="F não pode ser Superior a MF" sqref="K349">
      <formula1>J349</formula1>
    </dataValidation>
    <dataValidation type="whole" operator="lessThanOrEqual" allowBlank="1" showErrorMessage="1" errorTitle="Mensagem de Erro" error="F não pode ser Superior a MF" sqref="K35">
      <formula1>J35</formula1>
    </dataValidation>
    <dataValidation type="whole" operator="lessThanOrEqual" allowBlank="1" showErrorMessage="1" errorTitle="Mensagem de Erro" error="F não pode ser Superior a MF" sqref="K350">
      <formula1>J350</formula1>
    </dataValidation>
    <dataValidation type="whole" operator="lessThanOrEqual" allowBlank="1" showErrorMessage="1" errorTitle="Mensagem de Erro" error="F não pode ser Superior a MF" sqref="K353">
      <formula1>J353</formula1>
    </dataValidation>
    <dataValidation type="whole" operator="lessThanOrEqual" allowBlank="1" showErrorMessage="1" errorTitle="Mensagem de Erro" error="F não pode ser Superior a MF" sqref="K354">
      <formula1>J354</formula1>
    </dataValidation>
    <dataValidation type="whole" operator="lessThanOrEqual" allowBlank="1" showErrorMessage="1" errorTitle="Mensagem de Erro" error="F não pode ser Superior a MF" sqref="K355">
      <formula1>J355</formula1>
    </dataValidation>
    <dataValidation type="whole" operator="lessThanOrEqual" allowBlank="1" showErrorMessage="1" errorTitle="Mensagem de Erro" error="F não pode ser Superior a MF" sqref="K356">
      <formula1>J356</formula1>
    </dataValidation>
    <dataValidation type="whole" operator="lessThanOrEqual" allowBlank="1" showErrorMessage="1" errorTitle="Mensagem de Erro" error="F não pode ser Superior a MF" sqref="K357">
      <formula1>J357</formula1>
    </dataValidation>
    <dataValidation type="whole" operator="lessThanOrEqual" allowBlank="1" showErrorMessage="1" errorTitle="Mensagem de Erro" error="F não pode ser Superior a MF" sqref="K358">
      <formula1>J358</formula1>
    </dataValidation>
    <dataValidation type="whole" operator="lessThanOrEqual" allowBlank="1" showErrorMessage="1" errorTitle="Mensagem de Erro" error="F não pode ser Superior a MF" sqref="K359">
      <formula1>J359</formula1>
    </dataValidation>
    <dataValidation type="whole" operator="lessThanOrEqual" allowBlank="1" showErrorMessage="1" errorTitle="Mensagem de Erro" error="F não pode ser Superior a MF" sqref="K36">
      <formula1>J36</formula1>
    </dataValidation>
    <dataValidation type="whole" operator="lessThanOrEqual" allowBlank="1" showErrorMessage="1" errorTitle="Mensagem de Erro" error="F não pode ser Superior a MF" sqref="K360">
      <formula1>J360</formula1>
    </dataValidation>
    <dataValidation type="whole" operator="lessThanOrEqual" allowBlank="1" showErrorMessage="1" errorTitle="Mensagem de Erro" error="F não pode ser Superior a MF" sqref="K361">
      <formula1>J361</formula1>
    </dataValidation>
    <dataValidation type="whole" operator="lessThanOrEqual" allowBlank="1" showErrorMessage="1" errorTitle="Mensagem de Erro" error="F não pode ser Superior a MF" sqref="K362">
      <formula1>J362</formula1>
    </dataValidation>
    <dataValidation type="whole" operator="lessThanOrEqual" allowBlank="1" showErrorMessage="1" errorTitle="Mensagem de Erro" error="F não pode ser Superior a MF" sqref="K363">
      <formula1>J363</formula1>
    </dataValidation>
    <dataValidation type="whole" operator="lessThanOrEqual" allowBlank="1" showErrorMessage="1" errorTitle="Mensagem de Erro" error="F não pode ser Superior a MF" sqref="K364">
      <formula1>J364</formula1>
    </dataValidation>
    <dataValidation type="whole" operator="lessThanOrEqual" allowBlank="1" showErrorMessage="1" errorTitle="Mensagem de Erro" error="F não pode ser Superior a MF" sqref="K365">
      <formula1>J365</formula1>
    </dataValidation>
    <dataValidation type="whole" operator="lessThanOrEqual" allowBlank="1" showErrorMessage="1" errorTitle="Mensagem de Erro" error="F não pode ser Superior a MF" sqref="K366">
      <formula1>J366</formula1>
    </dataValidation>
    <dataValidation type="whole" operator="lessThanOrEqual" allowBlank="1" showErrorMessage="1" errorTitle="Mensagem de Erro" error="F não pode ser Superior a MF" sqref="K367">
      <formula1>J367</formula1>
    </dataValidation>
    <dataValidation type="whole" operator="lessThanOrEqual" allowBlank="1" showErrorMessage="1" errorTitle="Mensagem de Erro" error="F não pode ser Superior a MF" sqref="K368">
      <formula1>J368</formula1>
    </dataValidation>
    <dataValidation type="whole" operator="lessThanOrEqual" allowBlank="1" showErrorMessage="1" errorTitle="Mensagem de Erro" error="F não pode ser Superior a MF" sqref="K369">
      <formula1>J369</formula1>
    </dataValidation>
    <dataValidation type="whole" operator="lessThanOrEqual" allowBlank="1" showErrorMessage="1" errorTitle="Mensagem de Erro" error="F não pode ser Superior a MF" sqref="K37">
      <formula1>J37</formula1>
    </dataValidation>
    <dataValidation type="whole" operator="lessThanOrEqual" allowBlank="1" showErrorMessage="1" errorTitle="Mensagem de Erro" error="F não pode ser Superior a MF" sqref="K370">
      <formula1>J370</formula1>
    </dataValidation>
    <dataValidation type="whole" operator="lessThanOrEqual" allowBlank="1" showErrorMessage="1" errorTitle="Mensagem de Erro" error="F não pode ser Superior a MF" sqref="K38">
      <formula1>J38</formula1>
    </dataValidation>
    <dataValidation type="whole" operator="lessThanOrEqual" allowBlank="1" showErrorMessage="1" errorTitle="Mensagem de Erro" error="F não pode ser Superior a MF" sqref="K39">
      <formula1>J39</formula1>
    </dataValidation>
    <dataValidation type="whole" operator="lessThanOrEqual" allowBlank="1" showErrorMessage="1" errorTitle="Mensagem de Erro" error="F não pode ser Superior a MF" sqref="K40">
      <formula1>J40</formula1>
    </dataValidation>
    <dataValidation type="whole" operator="lessThanOrEqual" allowBlank="1" showErrorMessage="1" errorTitle="Mensagem de Erro" error="F não pode ser Superior a MF" sqref="K41">
      <formula1>J41</formula1>
    </dataValidation>
    <dataValidation type="whole" operator="lessThanOrEqual" allowBlank="1" showErrorMessage="1" errorTitle="Mensagem de Erro" error="F não pode ser Superior a MF" sqref="K42">
      <formula1>J42</formula1>
    </dataValidation>
    <dataValidation type="whole" operator="lessThanOrEqual" allowBlank="1" showErrorMessage="1" errorTitle="Mensagem de Erro" error="F não pode ser Superior a MF" sqref="K43">
      <formula1>J43</formula1>
    </dataValidation>
    <dataValidation type="whole" operator="lessThanOrEqual" allowBlank="1" showErrorMessage="1" errorTitle="Mensagem de Erro" error="F não pode ser Superior a MF" sqref="K44">
      <formula1>J44</formula1>
    </dataValidation>
    <dataValidation type="whole" operator="lessThanOrEqual" allowBlank="1" showErrorMessage="1" errorTitle="Mensagem de Erro" error="F não pode ser Superior a MF" sqref="K45">
      <formula1>J45</formula1>
    </dataValidation>
    <dataValidation type="whole" operator="lessThanOrEqual" allowBlank="1" showErrorMessage="1" errorTitle="Mensagem de Erro" error="F não pode ser Superior a MF" sqref="K46">
      <formula1>J46</formula1>
    </dataValidation>
    <dataValidation type="whole" operator="lessThanOrEqual" allowBlank="1" showErrorMessage="1" errorTitle="Mensagem de Erro" error="F não pode ser Superior a MF" sqref="K47">
      <formula1>J47</formula1>
    </dataValidation>
    <dataValidation type="whole" operator="lessThanOrEqual" allowBlank="1" showErrorMessage="1" errorTitle="Mensagem de Erro" error="F não pode ser Superior a MF" sqref="K48">
      <formula1>J48</formula1>
    </dataValidation>
    <dataValidation type="whole" operator="lessThanOrEqual" allowBlank="1" showErrorMessage="1" errorTitle="Mensagem de Erro" error="F não pode ser Superior a MF" sqref="K49">
      <formula1>J49</formula1>
    </dataValidation>
    <dataValidation type="whole" operator="lessThanOrEqual" allowBlank="1" showErrorMessage="1" errorTitle="Mensagem de Erro" error="F não pode ser Superior a MF" sqref="K50">
      <formula1>J50</formula1>
    </dataValidation>
    <dataValidation type="whole" operator="lessThanOrEqual" allowBlank="1" showErrorMessage="1" errorTitle="Mensagem de Erro" error="F não pode ser Superior a MF" sqref="K51">
      <formula1>J51</formula1>
    </dataValidation>
    <dataValidation type="whole" operator="lessThanOrEqual" allowBlank="1" showErrorMessage="1" errorTitle="Mensagem de Erro" error="F não pode ser Superior a MF" sqref="K52">
      <formula1>J52</formula1>
    </dataValidation>
    <dataValidation type="whole" operator="lessThanOrEqual" allowBlank="1" showErrorMessage="1" errorTitle="Mensagem de Erro" error="F não pode ser Superior a MF" sqref="K53">
      <formula1>J53</formula1>
    </dataValidation>
    <dataValidation type="whole" operator="lessThanOrEqual" allowBlank="1" showErrorMessage="1" errorTitle="Mensagem de Erro" error="F não pode ser Superior a MF" sqref="K54">
      <formula1>J54</formula1>
    </dataValidation>
    <dataValidation type="whole" operator="lessThanOrEqual" allowBlank="1" showErrorMessage="1" errorTitle="Mensagem de Erro" error="F não pode ser Superior a MF" sqref="K55">
      <formula1>J55</formula1>
    </dataValidation>
    <dataValidation type="whole" operator="lessThanOrEqual" allowBlank="1" showErrorMessage="1" errorTitle="Mensagem de Erro" error="F não pode ser Superior a MF" sqref="K56">
      <formula1>J56</formula1>
    </dataValidation>
    <dataValidation type="whole" operator="lessThanOrEqual" allowBlank="1" showErrorMessage="1" errorTitle="Mensagem de Erro" error="F não pode ser Superior a MF" sqref="K57">
      <formula1>J57</formula1>
    </dataValidation>
    <dataValidation type="whole" operator="lessThanOrEqual" allowBlank="1" showErrorMessage="1" errorTitle="Mensagem de Erro" error="F não pode ser Superior a MF" sqref="K58">
      <formula1>J58</formula1>
    </dataValidation>
    <dataValidation type="whole" operator="lessThanOrEqual" allowBlank="1" showErrorMessage="1" errorTitle="Mensagem de Erro" error="F não pode ser Superior a MF" sqref="K59">
      <formula1>J59</formula1>
    </dataValidation>
    <dataValidation type="whole" operator="lessThanOrEqual" allowBlank="1" showErrorMessage="1" errorTitle="Mensagem de Erro" error="F não pode ser Superior a MF" sqref="K60">
      <formula1>J60</formula1>
    </dataValidation>
    <dataValidation type="whole" operator="lessThanOrEqual" allowBlank="1" showErrorMessage="1" errorTitle="Mensagem de Erro" error="F não pode ser Superior a MF" sqref="K61">
      <formula1>J61</formula1>
    </dataValidation>
    <dataValidation type="whole" operator="lessThanOrEqual" allowBlank="1" showErrorMessage="1" errorTitle="Mensagem de Erro" error="F não pode ser Superior a MF" sqref="K62">
      <formula1>J62</formula1>
    </dataValidation>
    <dataValidation type="whole" operator="lessThanOrEqual" allowBlank="1" showErrorMessage="1" errorTitle="Mensagem de Erro" error="F não pode ser Superior a MF" sqref="K63">
      <formula1>J63</formula1>
    </dataValidation>
    <dataValidation type="whole" operator="lessThanOrEqual" allowBlank="1" showErrorMessage="1" errorTitle="Mensagem de Erro" error="F não pode ser Superior a MF" sqref="K64">
      <formula1>J64</formula1>
    </dataValidation>
    <dataValidation type="whole" operator="lessThanOrEqual" allowBlank="1" showErrorMessage="1" errorTitle="Mensagem de Erro" error="F não pode ser Superior a MF" sqref="K65">
      <formula1>J65</formula1>
    </dataValidation>
    <dataValidation type="whole" operator="lessThanOrEqual" allowBlank="1" showErrorMessage="1" errorTitle="Mensagem de Erro" error="F não pode ser Superior a MF" sqref="K66">
      <formula1>J66</formula1>
    </dataValidation>
    <dataValidation type="whole" operator="lessThanOrEqual" allowBlank="1" showErrorMessage="1" errorTitle="Mensagem de Erro" error="F não pode ser Superior a MF" sqref="K67">
      <formula1>J67</formula1>
    </dataValidation>
    <dataValidation type="whole" operator="lessThanOrEqual" allowBlank="1" showErrorMessage="1" errorTitle="Mensagem de Erro" error="F não pode ser Superior a MF" sqref="K68">
      <formula1>J68</formula1>
    </dataValidation>
    <dataValidation type="whole" operator="lessThanOrEqual" allowBlank="1" showErrorMessage="1" errorTitle="Mensagem de Erro" error="F não pode ser Superior a MF" sqref="K69">
      <formula1>J69</formula1>
    </dataValidation>
    <dataValidation type="whole" operator="lessThanOrEqual" allowBlank="1" showErrorMessage="1" errorTitle="Mensagem de Erro" error="F não pode ser Superior a MF" sqref="K7">
      <formula1>J7</formula1>
    </dataValidation>
    <dataValidation type="whole" operator="lessThanOrEqual" allowBlank="1" showErrorMessage="1" errorTitle="Mensagem de Erro" error="F não pode ser Superior a MF" sqref="K70">
      <formula1>J70</formula1>
    </dataValidation>
    <dataValidation type="whole" operator="lessThanOrEqual" allowBlank="1" showErrorMessage="1" errorTitle="Mensagem de Erro" error="F não pode ser Superior a MF" sqref="K71">
      <formula1>J71</formula1>
    </dataValidation>
    <dataValidation type="whole" operator="lessThanOrEqual" allowBlank="1" showErrorMessage="1" errorTitle="Mensagem de Erro" error="F não pode ser Superior a MF" sqref="K72">
      <formula1>J72</formula1>
    </dataValidation>
    <dataValidation type="whole" operator="lessThanOrEqual" allowBlank="1" showErrorMessage="1" errorTitle="Mensagem de Erro" error="F não pode ser Superior a MF" sqref="K73">
      <formula1>J73</formula1>
    </dataValidation>
    <dataValidation type="whole" operator="lessThanOrEqual" allowBlank="1" showErrorMessage="1" errorTitle="Mensagem de Erro" error="F não pode ser Superior a MF" sqref="K74">
      <formula1>J74</formula1>
    </dataValidation>
    <dataValidation type="whole" operator="lessThanOrEqual" allowBlank="1" showErrorMessage="1" errorTitle="Mensagem de Erro" error="F não pode ser Superior a MF" sqref="K75">
      <formula1>J75</formula1>
    </dataValidation>
    <dataValidation type="whole" operator="lessThanOrEqual" allowBlank="1" showErrorMessage="1" errorTitle="Mensagem de Erro" error="F não pode ser Superior a MF" sqref="K76">
      <formula1>J76</formula1>
    </dataValidation>
    <dataValidation type="whole" operator="lessThanOrEqual" allowBlank="1" showErrorMessage="1" errorTitle="Mensagem de Erro" error="F não pode ser Superior a MF" sqref="K77">
      <formula1>J77</formula1>
    </dataValidation>
    <dataValidation type="whole" operator="lessThanOrEqual" allowBlank="1" showErrorMessage="1" errorTitle="Mensagem de Erro" error="F não pode ser Superior a MF" sqref="K78">
      <formula1>J78</formula1>
    </dataValidation>
    <dataValidation type="whole" operator="lessThanOrEqual" allowBlank="1" showErrorMessage="1" errorTitle="Mensagem de Erro" error="F não pode ser Superior a MF" sqref="K79">
      <formula1>J79</formula1>
    </dataValidation>
    <dataValidation type="whole" operator="lessThanOrEqual" allowBlank="1" showErrorMessage="1" errorTitle="Mensagem de Erro" error="F não pode ser Superior a MF" sqref="K8">
      <formula1>J8</formula1>
    </dataValidation>
    <dataValidation type="whole" operator="lessThanOrEqual" allowBlank="1" showErrorMessage="1" errorTitle="Mensagem de Erro" error="F não pode ser Superior a MF" sqref="K80">
      <formula1>J80</formula1>
    </dataValidation>
    <dataValidation type="whole" operator="lessThanOrEqual" allowBlank="1" showErrorMessage="1" errorTitle="Mensagem de Erro" error="F não pode ser Superior a MF" sqref="K81">
      <formula1>J81</formula1>
    </dataValidation>
    <dataValidation type="whole" operator="lessThanOrEqual" allowBlank="1" showErrorMessage="1" errorTitle="Mensagem de Erro" error="F não pode ser Superior a MF" sqref="K82">
      <formula1>J82</formula1>
    </dataValidation>
    <dataValidation type="whole" operator="lessThanOrEqual" allowBlank="1" showErrorMessage="1" errorTitle="Mensagem de Erro" error="F não pode ser Superior a MF" sqref="K83">
      <formula1>J83</formula1>
    </dataValidation>
    <dataValidation type="whole" operator="lessThanOrEqual" allowBlank="1" showErrorMessage="1" errorTitle="Mensagem de Erro" error="F não pode ser Superior a MF" sqref="K84">
      <formula1>J84</formula1>
    </dataValidation>
    <dataValidation type="whole" operator="lessThanOrEqual" allowBlank="1" showErrorMessage="1" errorTitle="Mensagem de Erro" error="F não pode ser Superior a MF" sqref="K85">
      <formula1>J85</formula1>
    </dataValidation>
    <dataValidation type="whole" operator="lessThanOrEqual" allowBlank="1" showErrorMessage="1" errorTitle="Mensagem de Erro" error="F não pode ser Superior a MF" sqref="K86">
      <formula1>J86</formula1>
    </dataValidation>
    <dataValidation type="whole" operator="lessThanOrEqual" allowBlank="1" showErrorMessage="1" errorTitle="Mensagem de Erro" error="F não pode ser Superior a MF" sqref="K87">
      <formula1>J87</formula1>
    </dataValidation>
    <dataValidation type="whole" operator="lessThanOrEqual" allowBlank="1" showErrorMessage="1" errorTitle="Mensagem de Erro" error="F não pode ser Superior a MF" sqref="K88">
      <formula1>J88</formula1>
    </dataValidation>
    <dataValidation type="whole" operator="lessThanOrEqual" allowBlank="1" showErrorMessage="1" errorTitle="Mensagem de Erro" error="F não pode ser Superior a MF" sqref="K89">
      <formula1>J89</formula1>
    </dataValidation>
    <dataValidation type="whole" operator="lessThanOrEqual" allowBlank="1" showErrorMessage="1" errorTitle="Mensagem de Erro" error="F não pode ser Superior a MF" sqref="K9">
      <formula1>J9</formula1>
    </dataValidation>
    <dataValidation type="whole" operator="lessThanOrEqual" allowBlank="1" showErrorMessage="1" errorTitle="Mensagem de Erro" error="F não pode ser Superior a MF" sqref="K90">
      <formula1>J90</formula1>
    </dataValidation>
    <dataValidation type="whole" operator="lessThanOrEqual" allowBlank="1" showErrorMessage="1" errorTitle="Mensagem de Erro" error="F não pode ser Superior a MF" sqref="K91">
      <formula1>J91</formula1>
    </dataValidation>
    <dataValidation type="whole" operator="lessThanOrEqual" allowBlank="1" showErrorMessage="1" errorTitle="Mensagem de Erro" error="F não pode ser Superior a MF" sqref="K92">
      <formula1>J92</formula1>
    </dataValidation>
    <dataValidation type="whole" operator="lessThanOrEqual" allowBlank="1" showErrorMessage="1" errorTitle="Mensagem de Erro" error="F não pode ser Superior a MF" sqref="K93">
      <formula1>J93</formula1>
    </dataValidation>
    <dataValidation type="whole" operator="lessThanOrEqual" allowBlank="1" showErrorMessage="1" errorTitle="Mensagem de Erro" error="F não pode ser Superior a MF" sqref="K94">
      <formula1>J94</formula1>
    </dataValidation>
    <dataValidation type="whole" operator="lessThanOrEqual" allowBlank="1" showErrorMessage="1" errorTitle="Mensagem de Erro" error="F não pode ser Superior a MF" sqref="K95">
      <formula1>J95</formula1>
    </dataValidation>
    <dataValidation type="whole" operator="lessThanOrEqual" allowBlank="1" showErrorMessage="1" errorTitle="Mensagem de Erro" error="F não pode ser Superior a MF" sqref="K96">
      <formula1>J96</formula1>
    </dataValidation>
    <dataValidation type="whole" operator="lessThanOrEqual" allowBlank="1" showErrorMessage="1" errorTitle="Mensagem de Erro" error="F não pode ser Superior a MF" sqref="K97">
      <formula1>J97</formula1>
    </dataValidation>
    <dataValidation type="whole" operator="lessThanOrEqual" allowBlank="1" showErrorMessage="1" errorTitle="Mensagem de Erro" error="F não pode ser Superior a MF" sqref="K98">
      <formula1>J98</formula1>
    </dataValidation>
    <dataValidation type="whole" operator="lessThanOrEqual" allowBlank="1" showErrorMessage="1" errorTitle="Mensagem de Erro" error="F não pode ser Superior a MF" sqref="K99">
      <formula1>J99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126"/>
  <sheetViews>
    <sheetView workbookViewId="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32" customWidth="1"/>
    <col min="2" max="2" width="24" customWidth="1"/>
    <col min="3" max="4" width="14" customWidth="1"/>
    <col min="5" max="24" width="11" customWidth="1"/>
  </cols>
  <sheetData>
    <row r="2" spans="1:16" x14ac:dyDescent="0.25">
      <c r="A2" s="16" t="s">
        <v>327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4" spans="1:1" x14ac:dyDescent="0.25">
      <c r="A4" s="27" t="s">
        <v>328</v>
      </c>
    </row>
    <row r="5" spans="1:10" x14ac:dyDescent="0.25">
      <c r="A5" s="19" t="s">
        <v>25</v>
      </c>
      <c r="B5" s="19" t="s">
        <v>225</v>
      </c>
      <c r="C5" s="19" t="s">
        <v>329</v>
      </c>
      <c r="D5" s="19"/>
      <c r="E5" s="19" t="s">
        <v>29</v>
      </c>
      <c r="F5" s="19"/>
      <c r="G5" s="19" t="s">
        <v>30</v>
      </c>
      <c r="H5" s="19"/>
      <c r="I5" s="19" t="s">
        <v>31</v>
      </c>
      <c r="J5" s="19"/>
    </row>
    <row r="6" spans="1:10" x14ac:dyDescent="0.25">
      <c r="A6" s="19"/>
      <c r="B6" s="19"/>
      <c r="C6" s="19" t="s">
        <v>33</v>
      </c>
      <c r="D6" s="19" t="s">
        <v>34</v>
      </c>
      <c r="E6" s="19" t="s">
        <v>35</v>
      </c>
      <c r="F6" s="19" t="s">
        <v>36</v>
      </c>
      <c r="G6" s="19" t="s">
        <v>35</v>
      </c>
      <c r="H6" s="19" t="s">
        <v>36</v>
      </c>
      <c r="I6" s="19" t="s">
        <v>35</v>
      </c>
      <c r="J6" s="19" t="s">
        <v>36</v>
      </c>
    </row>
    <row r="7" spans="1:10" x14ac:dyDescent="0.25">
      <c r="A7" s="20" t="s">
        <v>38</v>
      </c>
      <c r="B7" s="20" t="s">
        <v>330</v>
      </c>
      <c r="C7" s="21">
        <f>SUM(E7,G7,I7)</f>
      </c>
      <c r="D7" s="21">
        <f>SUM(F7,H7,J7)</f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</row>
    <row r="8" spans="1:10" x14ac:dyDescent="0.25">
      <c r="A8" s="20" t="s">
        <v>39</v>
      </c>
      <c r="B8" s="20" t="s">
        <v>330</v>
      </c>
      <c r="C8" s="21">
        <f>SUM(E8,G8,I8)</f>
      </c>
      <c r="D8" s="21">
        <f>SUM(F8,H8,J8)</f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</row>
    <row r="9" spans="1:10" x14ac:dyDescent="0.25">
      <c r="A9" s="20" t="s">
        <v>40</v>
      </c>
      <c r="B9" s="20" t="s">
        <v>330</v>
      </c>
      <c r="C9" s="21">
        <f>SUM(E9,G9,I9)</f>
      </c>
      <c r="D9" s="21">
        <f>SUM(F9,H9,J9)</f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</row>
    <row r="10" spans="1:10" x14ac:dyDescent="0.25">
      <c r="A10" s="23" t="s">
        <v>46</v>
      </c>
      <c r="B10" s="23" t="s">
        <v>58</v>
      </c>
      <c r="C10" s="24">
        <f>SUM(C7:C9)</f>
      </c>
      <c r="D10" s="24">
        <f>SUM(D7:D9)</f>
      </c>
      <c r="E10" s="24">
        <f>SUM(E7:E9)</f>
      </c>
      <c r="F10" s="24">
        <f>SUM(F7:F9)</f>
      </c>
      <c r="G10" s="24">
        <f>SUM(G7:G9)</f>
      </c>
      <c r="H10" s="24">
        <f>SUM(H7:H9)</f>
      </c>
      <c r="I10" s="24">
        <f>SUM(I7:I9)</f>
      </c>
      <c r="J10" s="24">
        <f>SUM(J7:J9)</f>
      </c>
    </row>
    <row r="12" spans="1:1" x14ac:dyDescent="0.25">
      <c r="A12" s="27" t="s">
        <v>331</v>
      </c>
    </row>
    <row r="13" spans="1:22" x14ac:dyDescent="0.25">
      <c r="A13" s="19" t="s">
        <v>25</v>
      </c>
      <c r="B13" s="19" t="s">
        <v>49</v>
      </c>
      <c r="C13" s="19" t="s">
        <v>329</v>
      </c>
      <c r="D13" s="19"/>
      <c r="E13" s="19" t="s">
        <v>30</v>
      </c>
      <c r="F13" s="19"/>
      <c r="G13" s="19" t="s">
        <v>50</v>
      </c>
      <c r="H13" s="19"/>
      <c r="I13" s="19" t="s">
        <v>51</v>
      </c>
      <c r="J13" s="19"/>
      <c r="K13" s="19" t="s">
        <v>52</v>
      </c>
      <c r="L13" s="19"/>
      <c r="M13" s="19" t="s">
        <v>53</v>
      </c>
      <c r="N13" s="19"/>
      <c r="O13" s="19" t="s">
        <v>54</v>
      </c>
      <c r="P13" s="19"/>
      <c r="Q13" s="19" t="s">
        <v>55</v>
      </c>
      <c r="R13" s="19"/>
      <c r="S13" s="19" t="s">
        <v>56</v>
      </c>
      <c r="T13" s="19"/>
      <c r="U13" s="19" t="s">
        <v>57</v>
      </c>
      <c r="V13" s="19"/>
    </row>
    <row r="14" spans="1:22" x14ac:dyDescent="0.25">
      <c r="A14" s="19"/>
      <c r="B14" s="19"/>
      <c r="C14" s="19" t="s">
        <v>33</v>
      </c>
      <c r="D14" s="19" t="s">
        <v>34</v>
      </c>
      <c r="E14" s="19" t="s">
        <v>35</v>
      </c>
      <c r="F14" s="19" t="s">
        <v>36</v>
      </c>
      <c r="G14" s="19" t="s">
        <v>35</v>
      </c>
      <c r="H14" s="19" t="s">
        <v>36</v>
      </c>
      <c r="I14" s="19" t="s">
        <v>35</v>
      </c>
      <c r="J14" s="19" t="s">
        <v>36</v>
      </c>
      <c r="K14" s="19" t="s">
        <v>35</v>
      </c>
      <c r="L14" s="19" t="s">
        <v>36</v>
      </c>
      <c r="M14" s="19" t="s">
        <v>35</v>
      </c>
      <c r="N14" s="19" t="s">
        <v>36</v>
      </c>
      <c r="O14" s="19" t="s">
        <v>35</v>
      </c>
      <c r="P14" s="19" t="s">
        <v>36</v>
      </c>
      <c r="Q14" s="19" t="s">
        <v>35</v>
      </c>
      <c r="R14" s="19" t="s">
        <v>36</v>
      </c>
      <c r="S14" s="19" t="s">
        <v>35</v>
      </c>
      <c r="T14" s="19" t="s">
        <v>36</v>
      </c>
      <c r="U14" s="19" t="s">
        <v>35</v>
      </c>
      <c r="V14" s="19" t="s">
        <v>36</v>
      </c>
    </row>
    <row r="15" spans="1:22" x14ac:dyDescent="0.25">
      <c r="A15" s="20" t="s">
        <v>38</v>
      </c>
      <c r="B15" s="20" t="s">
        <v>73</v>
      </c>
      <c r="C15" s="21">
        <f>SUM(E15,G15,I15,K15,M15,O15,Q15,S15,U15)</f>
      </c>
      <c r="D15" s="21">
        <f>SUM(F15,H15,J15,L15,N15,P15,R15,T15,V15)</f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</row>
    <row r="16" spans="1:22" x14ac:dyDescent="0.25">
      <c r="A16" s="20"/>
      <c r="B16" s="20" t="s">
        <v>74</v>
      </c>
      <c r="C16" s="21">
        <f>SUM(E16,G16,I16,K16,M16,O16,Q16,S16,U16)</f>
      </c>
      <c r="D16" s="21">
        <f>SUM(F16,H16,J16,L16,N16,P16,R16,T16,V16)</f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</row>
    <row r="17" spans="1:22" x14ac:dyDescent="0.25">
      <c r="A17" s="20"/>
      <c r="B17" s="20" t="s">
        <v>75</v>
      </c>
      <c r="C17" s="21">
        <f>SUM(E17,G17,I17,K17,M17,O17,Q17,S17,U17)</f>
      </c>
      <c r="D17" s="21">
        <f>SUM(F17,H17,J17,L17,N17,P17,R17,T17,V17)</f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</row>
    <row r="18" spans="1:22" x14ac:dyDescent="0.25">
      <c r="A18" s="20"/>
      <c r="B18" s="20" t="s">
        <v>76</v>
      </c>
      <c r="C18" s="21">
        <f>SUM(E18,G18,I18,K18,M18,O18,Q18,S18,U18)</f>
      </c>
      <c r="D18" s="21">
        <f>SUM(F18,H18,J18,L18,N18,P18,R18,T18,V18)</f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</row>
    <row r="19" spans="1:22" x14ac:dyDescent="0.25">
      <c r="A19" s="20"/>
      <c r="B19" s="20" t="s">
        <v>77</v>
      </c>
      <c r="C19" s="21">
        <f>SUM(E19,G19,I19,K19,M19,O19,Q19,S19,U19)</f>
      </c>
      <c r="D19" s="21">
        <f>SUM(F19,H19,J19,L19,N19,P19,R19,T19,V19)</f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</row>
    <row r="20" spans="1:22" x14ac:dyDescent="0.25">
      <c r="A20" s="20"/>
      <c r="B20" s="20" t="s">
        <v>78</v>
      </c>
      <c r="C20" s="21">
        <f>SUM(E20,G20,I20,K20,M20,O20,Q20,S20,U20)</f>
      </c>
      <c r="D20" s="21">
        <f>SUM(F20,H20,J20,L20,N20,P20,R20,T20,V20)</f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</row>
    <row r="21" spans="1:22" x14ac:dyDescent="0.25">
      <c r="A21" s="23" t="s">
        <v>79</v>
      </c>
      <c r="B21" s="23" t="s">
        <v>38</v>
      </c>
      <c r="C21" s="24">
        <f>SUM(C15:C20)</f>
      </c>
      <c r="D21" s="24">
        <f>SUM(D15:D20)</f>
      </c>
      <c r="E21" s="24">
        <f>SUM(E15:E20)</f>
      </c>
      <c r="F21" s="24">
        <f>SUM(F15:F20)</f>
      </c>
      <c r="G21" s="24">
        <f>SUM(G15:G20)</f>
      </c>
      <c r="H21" s="24">
        <f>SUM(H15:H20)</f>
      </c>
      <c r="I21" s="24">
        <f>SUM(I15:I20)</f>
      </c>
      <c r="J21" s="24">
        <f>SUM(J15:J20)</f>
      </c>
      <c r="K21" s="24">
        <f>SUM(K15:K20)</f>
      </c>
      <c r="L21" s="24">
        <f>SUM(L15:L20)</f>
      </c>
      <c r="M21" s="24">
        <f>SUM(M15:M20)</f>
      </c>
      <c r="N21" s="24">
        <f>SUM(N15:N20)</f>
      </c>
      <c r="O21" s="24">
        <f>SUM(O15:O20)</f>
      </c>
      <c r="P21" s="24">
        <f>SUM(P15:P20)</f>
      </c>
      <c r="Q21" s="24">
        <f>SUM(Q15:Q20)</f>
      </c>
      <c r="R21" s="24">
        <f>SUM(R15:R20)</f>
      </c>
      <c r="S21" s="24">
        <f>SUM(S15:S20)</f>
      </c>
      <c r="T21" s="24">
        <f>SUM(T15:T20)</f>
      </c>
      <c r="U21" s="24">
        <f>SUM(U15:U20)</f>
      </c>
      <c r="V21" s="24">
        <f>SUM(V15:V20)</f>
      </c>
    </row>
    <row r="22" spans="1:22" x14ac:dyDescent="0.25">
      <c r="A22" s="20" t="s">
        <v>39</v>
      </c>
      <c r="B22" s="20" t="s">
        <v>73</v>
      </c>
      <c r="C22" s="21">
        <f>SUM(E22,G22,I22,K22,M22,O22,Q22,S22,U22)</f>
      </c>
      <c r="D22" s="21">
        <f>SUM(F22,H22,J22,L22,N22,P22,R22,T22,V22)</f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</row>
    <row r="23" spans="1:22" x14ac:dyDescent="0.25">
      <c r="A23" s="20"/>
      <c r="B23" s="20" t="s">
        <v>74</v>
      </c>
      <c r="C23" s="21">
        <f>SUM(E23,G23,I23,K23,M23,O23,Q23,S23,U23)</f>
      </c>
      <c r="D23" s="21">
        <f>SUM(F23,H23,J23,L23,N23,P23,R23,T23,V23)</f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</row>
    <row r="24" spans="1:22" x14ac:dyDescent="0.25">
      <c r="A24" s="20"/>
      <c r="B24" s="20" t="s">
        <v>75</v>
      </c>
      <c r="C24" s="21">
        <f>SUM(E24,G24,I24,K24,M24,O24,Q24,S24,U24)</f>
      </c>
      <c r="D24" s="21">
        <f>SUM(F24,H24,J24,L24,N24,P24,R24,T24,V24)</f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</row>
    <row r="25" spans="1:22" x14ac:dyDescent="0.25">
      <c r="A25" s="20"/>
      <c r="B25" s="20" t="s">
        <v>76</v>
      </c>
      <c r="C25" s="21">
        <f>SUM(E25,G25,I25,K25,M25,O25,Q25,S25,U25)</f>
      </c>
      <c r="D25" s="21">
        <f>SUM(F25,H25,J25,L25,N25,P25,R25,T25,V25)</f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</row>
    <row r="26" spans="1:22" x14ac:dyDescent="0.25">
      <c r="A26" s="20"/>
      <c r="B26" s="20" t="s">
        <v>77</v>
      </c>
      <c r="C26" s="21">
        <f>SUM(E26,G26,I26,K26,M26,O26,Q26,S26,U26)</f>
      </c>
      <c r="D26" s="21">
        <f>SUM(F26,H26,J26,L26,N26,P26,R26,T26,V26)</f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</row>
    <row r="27" spans="1:22" x14ac:dyDescent="0.25">
      <c r="A27" s="20"/>
      <c r="B27" s="20" t="s">
        <v>78</v>
      </c>
      <c r="C27" s="21">
        <f>SUM(E27,G27,I27,K27,M27,O27,Q27,S27,U27)</f>
      </c>
      <c r="D27" s="21">
        <f>SUM(F27,H27,J27,L27,N27,P27,R27,T27,V27)</f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</row>
    <row r="28" spans="1:22" x14ac:dyDescent="0.25">
      <c r="A28" s="23" t="s">
        <v>79</v>
      </c>
      <c r="B28" s="23" t="s">
        <v>39</v>
      </c>
      <c r="C28" s="24">
        <f>SUM(C22:C27)</f>
      </c>
      <c r="D28" s="24">
        <f>SUM(D22:D27)</f>
      </c>
      <c r="E28" s="24">
        <f>SUM(E22:E27)</f>
      </c>
      <c r="F28" s="24">
        <f>SUM(F22:F27)</f>
      </c>
      <c r="G28" s="24">
        <f>SUM(G22:G27)</f>
      </c>
      <c r="H28" s="24">
        <f>SUM(H22:H27)</f>
      </c>
      <c r="I28" s="24">
        <f>SUM(I22:I27)</f>
      </c>
      <c r="J28" s="24">
        <f>SUM(J22:J27)</f>
      </c>
      <c r="K28" s="24">
        <f>SUM(K22:K27)</f>
      </c>
      <c r="L28" s="24">
        <f>SUM(L22:L27)</f>
      </c>
      <c r="M28" s="24">
        <f>SUM(M22:M27)</f>
      </c>
      <c r="N28" s="24">
        <f>SUM(N22:N27)</f>
      </c>
      <c r="O28" s="24">
        <f>SUM(O22:O27)</f>
      </c>
      <c r="P28" s="24">
        <f>SUM(P22:P27)</f>
      </c>
      <c r="Q28" s="24">
        <f>SUM(Q22:Q27)</f>
      </c>
      <c r="R28" s="24">
        <f>SUM(R22:R27)</f>
      </c>
      <c r="S28" s="24">
        <f>SUM(S22:S27)</f>
      </c>
      <c r="T28" s="24">
        <f>SUM(T22:T27)</f>
      </c>
      <c r="U28" s="24">
        <f>SUM(U22:U27)</f>
      </c>
      <c r="V28" s="24">
        <f>SUM(V22:V27)</f>
      </c>
    </row>
    <row r="29" spans="1:22" x14ac:dyDescent="0.25">
      <c r="A29" s="20" t="s">
        <v>40</v>
      </c>
      <c r="B29" s="20" t="s">
        <v>73</v>
      </c>
      <c r="C29" s="21">
        <f>SUM(E29,G29,I29,K29,M29,O29,Q29,S29,U29)</f>
      </c>
      <c r="D29" s="21">
        <f>SUM(F29,H29,J29,L29,N29,P29,R29,T29,V29)</f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</row>
    <row r="30" spans="1:22" x14ac:dyDescent="0.25">
      <c r="A30" s="20"/>
      <c r="B30" s="20" t="s">
        <v>74</v>
      </c>
      <c r="C30" s="21">
        <f>SUM(E30,G30,I30,K30,M30,O30,Q30,S30,U30)</f>
      </c>
      <c r="D30" s="21">
        <f>SUM(F30,H30,J30,L30,N30,P30,R30,T30,V30)</f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</row>
    <row r="31" spans="1:22" x14ac:dyDescent="0.25">
      <c r="A31" s="20"/>
      <c r="B31" s="20" t="s">
        <v>75</v>
      </c>
      <c r="C31" s="21">
        <f>SUM(E31,G31,I31,K31,M31,O31,Q31,S31,U31)</f>
      </c>
      <c r="D31" s="21">
        <f>SUM(F31,H31,J31,L31,N31,P31,R31,T31,V31)</f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</row>
    <row r="32" spans="1:22" x14ac:dyDescent="0.25">
      <c r="A32" s="20"/>
      <c r="B32" s="20" t="s">
        <v>76</v>
      </c>
      <c r="C32" s="21">
        <f>SUM(E32,G32,I32,K32,M32,O32,Q32,S32,U32)</f>
      </c>
      <c r="D32" s="21">
        <f>SUM(F32,H32,J32,L32,N32,P32,R32,T32,V32)</f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</row>
    <row r="33" spans="1:22" x14ac:dyDescent="0.25">
      <c r="A33" s="20"/>
      <c r="B33" s="20" t="s">
        <v>77</v>
      </c>
      <c r="C33" s="21">
        <f>SUM(E33,G33,I33,K33,M33,O33,Q33,S33,U33)</f>
      </c>
      <c r="D33" s="21">
        <f>SUM(F33,H33,J33,L33,N33,P33,R33,T33,V33)</f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</row>
    <row r="34" spans="1:22" x14ac:dyDescent="0.25">
      <c r="A34" s="20"/>
      <c r="B34" s="20" t="s">
        <v>78</v>
      </c>
      <c r="C34" s="21">
        <f>SUM(E34,G34,I34,K34,M34,O34,Q34,S34,U34)</f>
      </c>
      <c r="D34" s="21">
        <f>SUM(F34,H34,J34,L34,N34,P34,R34,T34,V34)</f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</row>
    <row r="35" spans="1:22" x14ac:dyDescent="0.25">
      <c r="A35" s="23" t="s">
        <v>79</v>
      </c>
      <c r="B35" s="23" t="s">
        <v>40</v>
      </c>
      <c r="C35" s="24">
        <f>SUM(C29:C34)</f>
      </c>
      <c r="D35" s="24">
        <f>SUM(D29:D34)</f>
      </c>
      <c r="E35" s="24">
        <f>SUM(E29:E34)</f>
      </c>
      <c r="F35" s="24">
        <f>SUM(F29:F34)</f>
      </c>
      <c r="G35" s="24">
        <f>SUM(G29:G34)</f>
      </c>
      <c r="H35" s="24">
        <f>SUM(H29:H34)</f>
      </c>
      <c r="I35" s="24">
        <f>SUM(I29:I34)</f>
      </c>
      <c r="J35" s="24">
        <f>SUM(J29:J34)</f>
      </c>
      <c r="K35" s="24">
        <f>SUM(K29:K34)</f>
      </c>
      <c r="L35" s="24">
        <f>SUM(L29:L34)</f>
      </c>
      <c r="M35" s="24">
        <f>SUM(M29:M34)</f>
      </c>
      <c r="N35" s="24">
        <f>SUM(N29:N34)</f>
      </c>
      <c r="O35" s="24">
        <f>SUM(O29:O34)</f>
      </c>
      <c r="P35" s="24">
        <f>SUM(P29:P34)</f>
      </c>
      <c r="Q35" s="24">
        <f>SUM(Q29:Q34)</f>
      </c>
      <c r="R35" s="24">
        <f>SUM(R29:R34)</f>
      </c>
      <c r="S35" s="24">
        <f>SUM(S29:S34)</f>
      </c>
      <c r="T35" s="24">
        <f>SUM(T29:T34)</f>
      </c>
      <c r="U35" s="24">
        <f>SUM(U29:U34)</f>
      </c>
      <c r="V35" s="24">
        <f>SUM(V29:V34)</f>
      </c>
    </row>
    <row r="36" spans="1:22" x14ac:dyDescent="0.25">
      <c r="A36" s="23" t="s">
        <v>46</v>
      </c>
      <c r="B36" s="23" t="s">
        <v>11</v>
      </c>
      <c r="C36" s="24">
        <f>SUM(C21,C28,C35)</f>
      </c>
      <c r="D36" s="24">
        <f>SUM(D21,D28,D35)</f>
      </c>
      <c r="E36" s="24">
        <f>SUM(E21,E28,E35)</f>
      </c>
      <c r="F36" s="24">
        <f>SUM(F21,F28,F35)</f>
      </c>
      <c r="G36" s="24">
        <f>SUM(G21,G28,G35)</f>
      </c>
      <c r="H36" s="24">
        <f>SUM(H21,H28,H35)</f>
      </c>
      <c r="I36" s="24">
        <f>SUM(I21,I28,I35)</f>
      </c>
      <c r="J36" s="24">
        <f>SUM(J21,J28,J35)</f>
      </c>
      <c r="K36" s="24">
        <f>SUM(K21,K28,K35)</f>
      </c>
      <c r="L36" s="24">
        <f>SUM(L21,L28,L35)</f>
      </c>
      <c r="M36" s="24">
        <f>SUM(M21,M28,M35)</f>
      </c>
      <c r="N36" s="24">
        <f>SUM(N21,N28,N35)</f>
      </c>
      <c r="O36" s="24">
        <f>SUM(O21,O28,O35)</f>
      </c>
      <c r="P36" s="24">
        <f>SUM(P21,P28,P35)</f>
      </c>
      <c r="Q36" s="24">
        <f>SUM(Q21,Q28,Q35)</f>
      </c>
      <c r="R36" s="24">
        <f>SUM(R21,R28,R35)</f>
      </c>
      <c r="S36" s="24">
        <f>SUM(S21,S28,S35)</f>
      </c>
      <c r="T36" s="24">
        <f>SUM(T21,T28,T35)</f>
      </c>
      <c r="U36" s="24">
        <f>SUM(U21,U28,U35)</f>
      </c>
      <c r="V36" s="24">
        <f>SUM(V21,V28,V35)</f>
      </c>
    </row>
    <row r="38" spans="1:1" x14ac:dyDescent="0.25">
      <c r="A38" s="27" t="s">
        <v>332</v>
      </c>
    </row>
    <row r="39" spans="1:22" x14ac:dyDescent="0.25">
      <c r="A39" s="19" t="s">
        <v>25</v>
      </c>
      <c r="B39" s="19" t="s">
        <v>333</v>
      </c>
      <c r="C39" s="19" t="s">
        <v>329</v>
      </c>
      <c r="D39" s="19"/>
      <c r="E39" s="19" t="s">
        <v>30</v>
      </c>
      <c r="F39" s="19"/>
      <c r="G39" s="19" t="s">
        <v>50</v>
      </c>
      <c r="H39" s="19"/>
      <c r="I39" s="19" t="s">
        <v>51</v>
      </c>
      <c r="J39" s="19"/>
      <c r="K39" s="19" t="s">
        <v>52</v>
      </c>
      <c r="L39" s="19"/>
      <c r="M39" s="19" t="s">
        <v>53</v>
      </c>
      <c r="N39" s="19"/>
      <c r="O39" s="19" t="s">
        <v>54</v>
      </c>
      <c r="P39" s="19"/>
      <c r="Q39" s="19" t="s">
        <v>55</v>
      </c>
      <c r="R39" s="19"/>
      <c r="S39" s="19" t="s">
        <v>56</v>
      </c>
      <c r="T39" s="19"/>
      <c r="U39" s="19" t="s">
        <v>57</v>
      </c>
      <c r="V39" s="19"/>
    </row>
    <row r="40" spans="1:22" x14ac:dyDescent="0.25">
      <c r="A40" s="19"/>
      <c r="B40" s="19"/>
      <c r="C40" s="19" t="s">
        <v>33</v>
      </c>
      <c r="D40" s="19" t="s">
        <v>34</v>
      </c>
      <c r="E40" s="19" t="s">
        <v>35</v>
      </c>
      <c r="F40" s="19" t="s">
        <v>36</v>
      </c>
      <c r="G40" s="19" t="s">
        <v>35</v>
      </c>
      <c r="H40" s="19" t="s">
        <v>36</v>
      </c>
      <c r="I40" s="19" t="s">
        <v>35</v>
      </c>
      <c r="J40" s="19" t="s">
        <v>36</v>
      </c>
      <c r="K40" s="19" t="s">
        <v>35</v>
      </c>
      <c r="L40" s="19" t="s">
        <v>36</v>
      </c>
      <c r="M40" s="19" t="s">
        <v>35</v>
      </c>
      <c r="N40" s="19" t="s">
        <v>36</v>
      </c>
      <c r="O40" s="19" t="s">
        <v>35</v>
      </c>
      <c r="P40" s="19" t="s">
        <v>36</v>
      </c>
      <c r="Q40" s="19" t="s">
        <v>35</v>
      </c>
      <c r="R40" s="19" t="s">
        <v>36</v>
      </c>
      <c r="S40" s="19" t="s">
        <v>35</v>
      </c>
      <c r="T40" s="19" t="s">
        <v>36</v>
      </c>
      <c r="U40" s="19" t="s">
        <v>35</v>
      </c>
      <c r="V40" s="19" t="s">
        <v>36</v>
      </c>
    </row>
    <row r="41" spans="1:22" x14ac:dyDescent="0.25">
      <c r="A41" s="20" t="s">
        <v>38</v>
      </c>
      <c r="B41" s="20" t="s">
        <v>88</v>
      </c>
      <c r="C41" s="21">
        <f>SUM(E41,G41,I41,K41,M41,O41,Q41,S41,U41)</f>
      </c>
      <c r="D41" s="21">
        <f>SUM(F41,H41,J41,L41,N41,P41,R41,T41,V41)</f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</row>
    <row r="42" spans="1:22" x14ac:dyDescent="0.25">
      <c r="A42" s="20" t="s">
        <v>38</v>
      </c>
      <c r="B42" s="20" t="s">
        <v>89</v>
      </c>
      <c r="C42" s="21">
        <f>SUM(E42,G42,I42,K42,M42,O42,Q42,S42,U42)</f>
      </c>
      <c r="D42" s="21">
        <f>SUM(F42,H42,J42,L42,N42,P42,R42,T42,V42)</f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</row>
    <row r="43" spans="1:22" x14ac:dyDescent="0.25">
      <c r="A43" s="20" t="s">
        <v>38</v>
      </c>
      <c r="B43" s="20" t="s">
        <v>90</v>
      </c>
      <c r="C43" s="21">
        <f>SUM(E43,G43,I43,K43,M43,O43,Q43,S43,U43)</f>
      </c>
      <c r="D43" s="21">
        <f>SUM(F43,H43,J43,L43,N43,P43,R43,T43,V43)</f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</row>
    <row r="44" spans="1:22" x14ac:dyDescent="0.25">
      <c r="A44" s="20" t="s">
        <v>39</v>
      </c>
      <c r="B44" s="20" t="s">
        <v>88</v>
      </c>
      <c r="C44" s="21">
        <f>SUM(E44,G44,I44,K44,M44,O44,Q44,S44,U44)</f>
      </c>
      <c r="D44" s="21">
        <f>SUM(F44,H44,J44,L44,N44,P44,R44,T44,V44)</f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</row>
    <row r="45" spans="1:22" x14ac:dyDescent="0.25">
      <c r="A45" s="20" t="s">
        <v>39</v>
      </c>
      <c r="B45" s="20" t="s">
        <v>89</v>
      </c>
      <c r="C45" s="21">
        <f>SUM(E45,G45,I45,K45,M45,O45,Q45,S45,U45)</f>
      </c>
      <c r="D45" s="21">
        <f>SUM(F45,H45,J45,L45,N45,P45,R45,T45,V45)</f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</row>
    <row r="46" spans="1:22" x14ac:dyDescent="0.25">
      <c r="A46" s="20" t="s">
        <v>39</v>
      </c>
      <c r="B46" s="20" t="s">
        <v>90</v>
      </c>
      <c r="C46" s="21">
        <f>SUM(E46,G46,I46,K46,M46,O46,Q46,S46,U46)</f>
      </c>
      <c r="D46" s="21">
        <f>SUM(F46,H46,J46,L46,N46,P46,R46,T46,V46)</f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</row>
    <row r="47" spans="1:22" x14ac:dyDescent="0.25">
      <c r="A47" s="20" t="s">
        <v>40</v>
      </c>
      <c r="B47" s="20" t="s">
        <v>88</v>
      </c>
      <c r="C47" s="21">
        <f>SUM(E47,G47,I47,K47,M47,O47,Q47,S47,U47)</f>
      </c>
      <c r="D47" s="21">
        <f>SUM(F47,H47,J47,L47,N47,P47,R47,T47,V47)</f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</row>
    <row r="48" spans="1:22" x14ac:dyDescent="0.25">
      <c r="A48" s="20" t="s">
        <v>40</v>
      </c>
      <c r="B48" s="20" t="s">
        <v>89</v>
      </c>
      <c r="C48" s="21">
        <f>SUM(E48,G48,I48,K48,M48,O48,Q48,S48,U48)</f>
      </c>
      <c r="D48" s="21">
        <f>SUM(F48,H48,J48,L48,N48,P48,R48,T48,V48)</f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</row>
    <row r="49" spans="1:22" x14ac:dyDescent="0.25">
      <c r="A49" s="20" t="s">
        <v>40</v>
      </c>
      <c r="B49" s="20" t="s">
        <v>90</v>
      </c>
      <c r="C49" s="21">
        <f>SUM(E49,G49,I49,K49,M49,O49,Q49,S49,U49)</f>
      </c>
      <c r="D49" s="21">
        <f>SUM(F49,H49,J49,L49,N49,P49,R49,T49,V49)</f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</row>
    <row r="50" spans="1:22" x14ac:dyDescent="0.25">
      <c r="A50" s="23" t="s">
        <v>46</v>
      </c>
      <c r="B50" s="23" t="s">
        <v>92</v>
      </c>
      <c r="C50" s="24">
        <f>SUM(C41:C49)</f>
      </c>
      <c r="D50" s="24">
        <f>SUM(D41:D49)</f>
      </c>
      <c r="E50" s="24">
        <f>SUM(E41:E49)</f>
      </c>
      <c r="F50" s="24">
        <f>SUM(F41:F49)</f>
      </c>
      <c r="G50" s="24">
        <f>SUM(G41:G49)</f>
      </c>
      <c r="H50" s="24">
        <f>SUM(H41:H49)</f>
      </c>
      <c r="I50" s="24">
        <f>SUM(I41:I49)</f>
      </c>
      <c r="J50" s="24">
        <f>SUM(J41:J49)</f>
      </c>
      <c r="K50" s="24">
        <f>SUM(K41:K49)</f>
      </c>
      <c r="L50" s="24">
        <f>SUM(L41:L49)</f>
      </c>
      <c r="M50" s="24">
        <f>SUM(M41:M49)</f>
      </c>
      <c r="N50" s="24">
        <f>SUM(N41:N49)</f>
      </c>
      <c r="O50" s="24">
        <f>SUM(O41:O49)</f>
      </c>
      <c r="P50" s="24">
        <f>SUM(P41:P49)</f>
      </c>
      <c r="Q50" s="24">
        <f>SUM(Q41:Q49)</f>
      </c>
      <c r="R50" s="24">
        <f>SUM(R41:R49)</f>
      </c>
      <c r="S50" s="24">
        <f>SUM(S41:S49)</f>
      </c>
      <c r="T50" s="24">
        <f>SUM(T41:T49)</f>
      </c>
      <c r="U50" s="24">
        <f>SUM(U41:U49)</f>
      </c>
      <c r="V50" s="24">
        <f>SUM(V41:V49)</f>
      </c>
    </row>
    <row r="52" spans="1:1" x14ac:dyDescent="0.25">
      <c r="A52" s="27" t="s">
        <v>334</v>
      </c>
    </row>
    <row r="53" spans="1:20" x14ac:dyDescent="0.25">
      <c r="A53" s="19" t="s">
        <v>25</v>
      </c>
      <c r="B53" s="19" t="s">
        <v>335</v>
      </c>
      <c r="C53" s="19" t="s">
        <v>329</v>
      </c>
      <c r="D53" s="19"/>
      <c r="E53" s="19" t="s">
        <v>55</v>
      </c>
      <c r="F53" s="19"/>
      <c r="G53" s="19" t="s">
        <v>56</v>
      </c>
      <c r="H53" s="19"/>
      <c r="I53" s="19" t="s">
        <v>86</v>
      </c>
      <c r="J53" s="19"/>
      <c r="K53" s="19" t="s">
        <v>112</v>
      </c>
      <c r="L53" s="19"/>
      <c r="M53" s="19" t="s">
        <v>96</v>
      </c>
      <c r="N53" s="19"/>
      <c r="O53" s="19" t="s">
        <v>97</v>
      </c>
      <c r="P53" s="19"/>
      <c r="Q53" s="19" t="s">
        <v>98</v>
      </c>
      <c r="R53" s="19"/>
      <c r="S53" s="19" t="s">
        <v>113</v>
      </c>
      <c r="T53" s="19"/>
    </row>
    <row r="54" spans="1:20" x14ac:dyDescent="0.25">
      <c r="A54" s="19"/>
      <c r="B54" s="19"/>
      <c r="C54" s="19" t="s">
        <v>33</v>
      </c>
      <c r="D54" s="19" t="s">
        <v>34</v>
      </c>
      <c r="E54" s="19" t="s">
        <v>35</v>
      </c>
      <c r="F54" s="19" t="s">
        <v>36</v>
      </c>
      <c r="G54" s="19" t="s">
        <v>35</v>
      </c>
      <c r="H54" s="19" t="s">
        <v>36</v>
      </c>
      <c r="I54" s="19" t="s">
        <v>35</v>
      </c>
      <c r="J54" s="19" t="s">
        <v>36</v>
      </c>
      <c r="K54" s="19" t="s">
        <v>35</v>
      </c>
      <c r="L54" s="19" t="s">
        <v>36</v>
      </c>
      <c r="M54" s="19" t="s">
        <v>35</v>
      </c>
      <c r="N54" s="19" t="s">
        <v>36</v>
      </c>
      <c r="O54" s="19" t="s">
        <v>35</v>
      </c>
      <c r="P54" s="19" t="s">
        <v>36</v>
      </c>
      <c r="Q54" s="19" t="s">
        <v>35</v>
      </c>
      <c r="R54" s="19" t="s">
        <v>36</v>
      </c>
      <c r="S54" s="19" t="s">
        <v>35</v>
      </c>
      <c r="T54" s="19" t="s">
        <v>36</v>
      </c>
    </row>
    <row r="55" spans="1:20" x14ac:dyDescent="0.25">
      <c r="A55" s="20" t="s">
        <v>38</v>
      </c>
      <c r="B55" s="20" t="s">
        <v>336</v>
      </c>
      <c r="C55" s="21">
        <f>SUM(E55,G55,I55,K55,M55,O55,Q55,S55)</f>
      </c>
      <c r="D55" s="21">
        <f>SUM(F55,H55,J55,L55,N55,P55,R55,T55)</f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  <c r="T55" s="22">
        <v>0</v>
      </c>
    </row>
    <row r="56" spans="1:20" x14ac:dyDescent="0.25">
      <c r="A56" s="20"/>
      <c r="B56" s="20" t="s">
        <v>337</v>
      </c>
      <c r="C56" s="21">
        <f>SUM(E56,G56,I56,K56,M56,O56,Q56,S56)</f>
      </c>
      <c r="D56" s="21">
        <f>SUM(F56,H56,J56,L56,N56,P56,R56,T56)</f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</row>
    <row r="57" spans="1:20" x14ac:dyDescent="0.25">
      <c r="A57" s="20"/>
      <c r="B57" s="20" t="s">
        <v>338</v>
      </c>
      <c r="C57" s="21">
        <f>SUM(E57,G57,I57,K57,M57,O57,Q57,S57)</f>
      </c>
      <c r="D57" s="21">
        <f>SUM(F57,H57,J57,L57,N57,P57,R57,T57)</f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</row>
    <row r="58" spans="1:20" x14ac:dyDescent="0.25">
      <c r="A58" s="20"/>
      <c r="B58" s="20" t="s">
        <v>339</v>
      </c>
      <c r="C58" s="21">
        <f>SUM(E58,G58,I58,K58,M58,O58,Q58,S58)</f>
      </c>
      <c r="D58" s="21">
        <f>SUM(F58,H58,J58,L58,N58,P58,R58,T58)</f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0</v>
      </c>
      <c r="T58" s="22">
        <v>0</v>
      </c>
    </row>
    <row r="59" spans="1:20" x14ac:dyDescent="0.25">
      <c r="A59" s="20"/>
      <c r="B59" s="20" t="s">
        <v>340</v>
      </c>
      <c r="C59" s="21">
        <f>SUM(E59,G59,I59,K59,M59,O59,Q59,S59)</f>
      </c>
      <c r="D59" s="21">
        <f>SUM(F59,H59,J59,L59,N59,P59,R59,T59)</f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</row>
    <row r="60" spans="1:20" x14ac:dyDescent="0.25">
      <c r="A60" s="20"/>
      <c r="B60" s="20" t="s">
        <v>341</v>
      </c>
      <c r="C60" s="21">
        <f>SUM(E60,G60,I60,K60,M60,O60,Q60,S60)</f>
      </c>
      <c r="D60" s="21">
        <f>SUM(F60,H60,J60,L60,N60,P60,R60,T60)</f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</row>
    <row r="61" spans="1:20" x14ac:dyDescent="0.25">
      <c r="A61" s="23" t="s">
        <v>79</v>
      </c>
      <c r="B61" s="23" t="s">
        <v>38</v>
      </c>
      <c r="C61" s="24">
        <f>SUM(C55:C60)</f>
      </c>
      <c r="D61" s="24">
        <f>SUM(D55:D60)</f>
      </c>
      <c r="E61" s="24">
        <f>SUM(E55:E60)</f>
      </c>
      <c r="F61" s="24">
        <f>SUM(F55:F60)</f>
      </c>
      <c r="G61" s="24">
        <f>SUM(G55:G60)</f>
      </c>
      <c r="H61" s="24">
        <f>SUM(H55:H60)</f>
      </c>
      <c r="I61" s="24">
        <f>SUM(I55:I60)</f>
      </c>
      <c r="J61" s="24">
        <f>SUM(J55:J60)</f>
      </c>
      <c r="K61" s="24">
        <f>SUM(K55:K60)</f>
      </c>
      <c r="L61" s="24">
        <f>SUM(L55:L60)</f>
      </c>
      <c r="M61" s="24">
        <f>SUM(M55:M60)</f>
      </c>
      <c r="N61" s="24">
        <f>SUM(N55:N60)</f>
      </c>
      <c r="O61" s="24">
        <f>SUM(O55:O60)</f>
      </c>
      <c r="P61" s="24">
        <f>SUM(P55:P60)</f>
      </c>
      <c r="Q61" s="24">
        <f>SUM(Q55:Q60)</f>
      </c>
      <c r="R61" s="24">
        <f>SUM(R55:R60)</f>
      </c>
      <c r="S61" s="24">
        <f>SUM(S55:S60)</f>
      </c>
      <c r="T61" s="24">
        <f>SUM(T55:T60)</f>
      </c>
    </row>
    <row r="62" spans="1:20" x14ac:dyDescent="0.25">
      <c r="A62" s="20" t="s">
        <v>39</v>
      </c>
      <c r="B62" s="20" t="s">
        <v>336</v>
      </c>
      <c r="C62" s="21">
        <f>SUM(E62,G62,I62,K62,M62,O62,Q62,S62)</f>
      </c>
      <c r="D62" s="21">
        <f>SUM(F62,H62,J62,L62,N62,P62,R62,T62)</f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</row>
    <row r="63" spans="1:20" x14ac:dyDescent="0.25">
      <c r="A63" s="20"/>
      <c r="B63" s="20" t="s">
        <v>337</v>
      </c>
      <c r="C63" s="21">
        <f>SUM(E63,G63,I63,K63,M63,O63,Q63,S63)</f>
      </c>
      <c r="D63" s="21">
        <f>SUM(F63,H63,J63,L63,N63,P63,R63,T63)</f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0</v>
      </c>
      <c r="T63" s="22">
        <v>0</v>
      </c>
    </row>
    <row r="64" spans="1:20" x14ac:dyDescent="0.25">
      <c r="A64" s="20"/>
      <c r="B64" s="20" t="s">
        <v>338</v>
      </c>
      <c r="C64" s="21">
        <f>SUM(E64,G64,I64,K64,M64,O64,Q64,S64)</f>
      </c>
      <c r="D64" s="21">
        <f>SUM(F64,H64,J64,L64,N64,P64,R64,T64)</f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</row>
    <row r="65" spans="1:20" x14ac:dyDescent="0.25">
      <c r="A65" s="20"/>
      <c r="B65" s="20" t="s">
        <v>339</v>
      </c>
      <c r="C65" s="21">
        <f>SUM(E65,G65,I65,K65,M65,O65,Q65,S65)</f>
      </c>
      <c r="D65" s="21">
        <f>SUM(F65,H65,J65,L65,N65,P65,R65,T65)</f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</row>
    <row r="66" spans="1:20" x14ac:dyDescent="0.25">
      <c r="A66" s="20"/>
      <c r="B66" s="20" t="s">
        <v>340</v>
      </c>
      <c r="C66" s="21">
        <f>SUM(E66,G66,I66,K66,M66,O66,Q66,S66)</f>
      </c>
      <c r="D66" s="21">
        <f>SUM(F66,H66,J66,L66,N66,P66,R66,T66)</f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</row>
    <row r="67" spans="1:20" x14ac:dyDescent="0.25">
      <c r="A67" s="20"/>
      <c r="B67" s="20" t="s">
        <v>341</v>
      </c>
      <c r="C67" s="21">
        <f>SUM(E67,G67,I67,K67,M67,O67,Q67,S67)</f>
      </c>
      <c r="D67" s="21">
        <f>SUM(F67,H67,J67,L67,N67,P67,R67,T67)</f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</row>
    <row r="68" spans="1:20" x14ac:dyDescent="0.25">
      <c r="A68" s="23" t="s">
        <v>79</v>
      </c>
      <c r="B68" s="23" t="s">
        <v>39</v>
      </c>
      <c r="C68" s="24">
        <f>SUM(C62:C67)</f>
      </c>
      <c r="D68" s="24">
        <f>SUM(D62:D67)</f>
      </c>
      <c r="E68" s="24">
        <f>SUM(E62:E67)</f>
      </c>
      <c r="F68" s="24">
        <f>SUM(F62:F67)</f>
      </c>
      <c r="G68" s="24">
        <f>SUM(G62:G67)</f>
      </c>
      <c r="H68" s="24">
        <f>SUM(H62:H67)</f>
      </c>
      <c r="I68" s="24">
        <f>SUM(I62:I67)</f>
      </c>
      <c r="J68" s="24">
        <f>SUM(J62:J67)</f>
      </c>
      <c r="K68" s="24">
        <f>SUM(K62:K67)</f>
      </c>
      <c r="L68" s="24">
        <f>SUM(L62:L67)</f>
      </c>
      <c r="M68" s="24">
        <f>SUM(M62:M67)</f>
      </c>
      <c r="N68" s="24">
        <f>SUM(N62:N67)</f>
      </c>
      <c r="O68" s="24">
        <f>SUM(O62:O67)</f>
      </c>
      <c r="P68" s="24">
        <f>SUM(P62:P67)</f>
      </c>
      <c r="Q68" s="24">
        <f>SUM(Q62:Q67)</f>
      </c>
      <c r="R68" s="24">
        <f>SUM(R62:R67)</f>
      </c>
      <c r="S68" s="24">
        <f>SUM(S62:S67)</f>
      </c>
      <c r="T68" s="24">
        <f>SUM(T62:T67)</f>
      </c>
    </row>
    <row r="69" spans="1:20" x14ac:dyDescent="0.25">
      <c r="A69" s="20" t="s">
        <v>40</v>
      </c>
      <c r="B69" s="20" t="s">
        <v>336</v>
      </c>
      <c r="C69" s="21">
        <f>SUM(E69,G69,I69,K69,M69,O69,Q69,S69)</f>
      </c>
      <c r="D69" s="21">
        <f>SUM(F69,H69,J69,L69,N69,P69,R69,T69)</f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</row>
    <row r="70" spans="1:20" x14ac:dyDescent="0.25">
      <c r="A70" s="20"/>
      <c r="B70" s="20" t="s">
        <v>337</v>
      </c>
      <c r="C70" s="21">
        <f>SUM(E70,G70,I70,K70,M70,O70,Q70,S70)</f>
      </c>
      <c r="D70" s="21">
        <f>SUM(F70,H70,J70,L70,N70,P70,R70,T70)</f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0</v>
      </c>
    </row>
    <row r="71" spans="1:20" x14ac:dyDescent="0.25">
      <c r="A71" s="20"/>
      <c r="B71" s="20" t="s">
        <v>338</v>
      </c>
      <c r="C71" s="21">
        <f>SUM(E71,G71,I71,K71,M71,O71,Q71,S71)</f>
      </c>
      <c r="D71" s="21">
        <f>SUM(F71,H71,J71,L71,N71,P71,R71,T71)</f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</row>
    <row r="72" spans="1:20" x14ac:dyDescent="0.25">
      <c r="A72" s="20"/>
      <c r="B72" s="20" t="s">
        <v>339</v>
      </c>
      <c r="C72" s="21">
        <f>SUM(E72,G72,I72,K72,M72,O72,Q72,S72)</f>
      </c>
      <c r="D72" s="21">
        <f>SUM(F72,H72,J72,L72,N72,P72,R72,T72)</f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</row>
    <row r="73" spans="1:20" x14ac:dyDescent="0.25">
      <c r="A73" s="20"/>
      <c r="B73" s="20" t="s">
        <v>340</v>
      </c>
      <c r="C73" s="21">
        <f>SUM(E73,G73,I73,K73,M73,O73,Q73,S73)</f>
      </c>
      <c r="D73" s="21">
        <f>SUM(F73,H73,J73,L73,N73,P73,R73,T73)</f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</row>
    <row r="74" spans="1:20" x14ac:dyDescent="0.25">
      <c r="A74" s="20"/>
      <c r="B74" s="20" t="s">
        <v>341</v>
      </c>
      <c r="C74" s="21">
        <f>SUM(E74,G74,I74,K74,M74,O74,Q74,S74)</f>
      </c>
      <c r="D74" s="21">
        <f>SUM(F74,H74,J74,L74,N74,P74,R74,T74)</f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</row>
    <row r="75" spans="1:20" x14ac:dyDescent="0.25">
      <c r="A75" s="23" t="s">
        <v>79</v>
      </c>
      <c r="B75" s="23" t="s">
        <v>40</v>
      </c>
      <c r="C75" s="24">
        <f>SUM(C69:C74)</f>
      </c>
      <c r="D75" s="24">
        <f>SUM(D69:D74)</f>
      </c>
      <c r="E75" s="24">
        <f>SUM(E69:E74)</f>
      </c>
      <c r="F75" s="24">
        <f>SUM(F69:F74)</f>
      </c>
      <c r="G75" s="24">
        <f>SUM(G69:G74)</f>
      </c>
      <c r="H75" s="24">
        <f>SUM(H69:H74)</f>
      </c>
      <c r="I75" s="24">
        <f>SUM(I69:I74)</f>
      </c>
      <c r="J75" s="24">
        <f>SUM(J69:J74)</f>
      </c>
      <c r="K75" s="24">
        <f>SUM(K69:K74)</f>
      </c>
      <c r="L75" s="24">
        <f>SUM(L69:L74)</f>
      </c>
      <c r="M75" s="24">
        <f>SUM(M69:M74)</f>
      </c>
      <c r="N75" s="24">
        <f>SUM(N69:N74)</f>
      </c>
      <c r="O75" s="24">
        <f>SUM(O69:O74)</f>
      </c>
      <c r="P75" s="24">
        <f>SUM(P69:P74)</f>
      </c>
      <c r="Q75" s="24">
        <f>SUM(Q69:Q74)</f>
      </c>
      <c r="R75" s="24">
        <f>SUM(R69:R74)</f>
      </c>
      <c r="S75" s="24">
        <f>SUM(S69:S74)</f>
      </c>
      <c r="T75" s="24">
        <f>SUM(T69:T74)</f>
      </c>
    </row>
    <row r="76" spans="1:20" x14ac:dyDescent="0.25">
      <c r="A76" s="23" t="s">
        <v>46</v>
      </c>
      <c r="B76" s="23" t="s">
        <v>342</v>
      </c>
      <c r="C76" s="24">
        <f>SUM(C61,C68,C75)</f>
      </c>
      <c r="D76" s="24">
        <f>SUM(D61,D68,D75)</f>
      </c>
      <c r="E76" s="24">
        <f>SUM(E61,E68,E75)</f>
      </c>
      <c r="F76" s="24">
        <f>SUM(F61,F68,F75)</f>
      </c>
      <c r="G76" s="24">
        <f>SUM(G61,G68,G75)</f>
      </c>
      <c r="H76" s="24">
        <f>SUM(H61,H68,H75)</f>
      </c>
      <c r="I76" s="24">
        <f>SUM(I61,I68,I75)</f>
      </c>
      <c r="J76" s="24">
        <f>SUM(J61,J68,J75)</f>
      </c>
      <c r="K76" s="24">
        <f>SUM(K61,K68,K75)</f>
      </c>
      <c r="L76" s="24">
        <f>SUM(L61,L68,L75)</f>
      </c>
      <c r="M76" s="24">
        <f>SUM(M61,M68,M75)</f>
      </c>
      <c r="N76" s="24">
        <f>SUM(N61,N68,N75)</f>
      </c>
      <c r="O76" s="24">
        <f>SUM(O61,O68,O75)</f>
      </c>
      <c r="P76" s="24">
        <f>SUM(P61,P68,P75)</f>
      </c>
      <c r="Q76" s="24">
        <f>SUM(Q61,Q68,Q75)</f>
      </c>
      <c r="R76" s="24">
        <f>SUM(R61,R68,R75)</f>
      </c>
      <c r="S76" s="24">
        <f>SUM(S61,S68,S75)</f>
      </c>
      <c r="T76" s="24">
        <f>SUM(T61,T68,T75)</f>
      </c>
    </row>
    <row r="78" spans="1:1" x14ac:dyDescent="0.25">
      <c r="A78" s="27" t="s">
        <v>343</v>
      </c>
    </row>
    <row r="79" spans="1:20" x14ac:dyDescent="0.25">
      <c r="A79" s="19" t="s">
        <v>25</v>
      </c>
      <c r="B79" s="19" t="s">
        <v>335</v>
      </c>
      <c r="C79" s="19" t="s">
        <v>329</v>
      </c>
      <c r="D79" s="19"/>
      <c r="E79" s="19" t="s">
        <v>130</v>
      </c>
      <c r="F79" s="19"/>
      <c r="G79" s="19" t="s">
        <v>112</v>
      </c>
      <c r="H79" s="19"/>
      <c r="I79" s="19" t="s">
        <v>96</v>
      </c>
      <c r="J79" s="19"/>
      <c r="K79" s="19" t="s">
        <v>97</v>
      </c>
      <c r="L79" s="19"/>
      <c r="M79" s="19" t="s">
        <v>98</v>
      </c>
      <c r="N79" s="19"/>
      <c r="O79" s="19" t="s">
        <v>99</v>
      </c>
      <c r="P79" s="19"/>
      <c r="Q79" s="19" t="s">
        <v>100</v>
      </c>
      <c r="R79" s="19"/>
      <c r="S79" s="19" t="s">
        <v>131</v>
      </c>
      <c r="T79" s="19"/>
    </row>
    <row r="80" spans="1:20" x14ac:dyDescent="0.25">
      <c r="A80" s="19"/>
      <c r="B80" s="19"/>
      <c r="C80" s="19" t="s">
        <v>33</v>
      </c>
      <c r="D80" s="19" t="s">
        <v>34</v>
      </c>
      <c r="E80" s="19" t="s">
        <v>35</v>
      </c>
      <c r="F80" s="19" t="s">
        <v>36</v>
      </c>
      <c r="G80" s="19" t="s">
        <v>35</v>
      </c>
      <c r="H80" s="19" t="s">
        <v>36</v>
      </c>
      <c r="I80" s="19" t="s">
        <v>35</v>
      </c>
      <c r="J80" s="19" t="s">
        <v>36</v>
      </c>
      <c r="K80" s="19" t="s">
        <v>35</v>
      </c>
      <c r="L80" s="19" t="s">
        <v>36</v>
      </c>
      <c r="M80" s="19" t="s">
        <v>35</v>
      </c>
      <c r="N80" s="19" t="s">
        <v>36</v>
      </c>
      <c r="O80" s="19" t="s">
        <v>35</v>
      </c>
      <c r="P80" s="19" t="s">
        <v>36</v>
      </c>
      <c r="Q80" s="19" t="s">
        <v>35</v>
      </c>
      <c r="R80" s="19" t="s">
        <v>36</v>
      </c>
      <c r="S80" s="19" t="s">
        <v>35</v>
      </c>
      <c r="T80" s="19" t="s">
        <v>36</v>
      </c>
    </row>
    <row r="81" spans="1:20" x14ac:dyDescent="0.25">
      <c r="A81" s="20" t="s">
        <v>38</v>
      </c>
      <c r="B81" s="20" t="s">
        <v>344</v>
      </c>
      <c r="C81" s="21">
        <f>SUM(E81,G81,I81,K81,M81,O81,Q81,S81)</f>
      </c>
      <c r="D81" s="21">
        <f>SUM(F81,H81,J81,L81,N81,P81,R81,T81)</f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</row>
    <row r="82" spans="1:20" x14ac:dyDescent="0.25">
      <c r="A82" s="20"/>
      <c r="B82" s="20" t="s">
        <v>345</v>
      </c>
      <c r="C82" s="21">
        <f>SUM(E82,G82,I82,K82,M82,O82,Q82,S82)</f>
      </c>
      <c r="D82" s="21">
        <f>SUM(F82,H82,J82,L82,N82,P82,R82,T82)</f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  <c r="S82" s="22">
        <v>0</v>
      </c>
      <c r="T82" s="22">
        <v>0</v>
      </c>
    </row>
    <row r="83" spans="1:20" x14ac:dyDescent="0.25">
      <c r="A83" s="20"/>
      <c r="B83" s="20" t="s">
        <v>346</v>
      </c>
      <c r="C83" s="21">
        <f>SUM(E83,G83,I83,K83,M83,O83,Q83,S83)</f>
      </c>
      <c r="D83" s="21">
        <f>SUM(F83,H83,J83,L83,N83,P83,R83,T83)</f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22">
        <v>0</v>
      </c>
      <c r="T83" s="22">
        <v>0</v>
      </c>
    </row>
    <row r="84" spans="1:20" x14ac:dyDescent="0.25">
      <c r="A84" s="20"/>
      <c r="B84" s="20" t="s">
        <v>347</v>
      </c>
      <c r="C84" s="21">
        <f>SUM(E84,G84,I84,K84,M84,O84,Q84,S84)</f>
      </c>
      <c r="D84" s="21">
        <f>SUM(F84,H84,J84,L84,N84,P84,R84,T84)</f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</row>
    <row r="85" spans="1:20" x14ac:dyDescent="0.25">
      <c r="A85" s="20"/>
      <c r="B85" s="20" t="s">
        <v>348</v>
      </c>
      <c r="C85" s="21">
        <f>SUM(E85,G85,I85,K85,M85,O85,Q85,S85)</f>
      </c>
      <c r="D85" s="21">
        <f>SUM(F85,H85,J85,L85,N85,P85,R85,T85)</f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</row>
    <row r="86" spans="1:20" x14ac:dyDescent="0.25">
      <c r="A86" s="20"/>
      <c r="B86" s="20" t="s">
        <v>349</v>
      </c>
      <c r="C86" s="21">
        <f>SUM(E86,G86,I86,K86,M86,O86,Q86,S86)</f>
      </c>
      <c r="D86" s="21">
        <f>SUM(F86,H86,J86,L86,N86,P86,R86,T86)</f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0</v>
      </c>
      <c r="P86" s="22">
        <v>0</v>
      </c>
      <c r="Q86" s="22">
        <v>0</v>
      </c>
      <c r="R86" s="22">
        <v>0</v>
      </c>
      <c r="S86" s="22">
        <v>0</v>
      </c>
      <c r="T86" s="22">
        <v>0</v>
      </c>
    </row>
    <row r="87" spans="1:20" x14ac:dyDescent="0.25">
      <c r="A87" s="20"/>
      <c r="B87" s="20" t="s">
        <v>350</v>
      </c>
      <c r="C87" s="21">
        <f>SUM(E87,G87,I87,K87,M87,O87,Q87,S87)</f>
      </c>
      <c r="D87" s="21">
        <f>SUM(F87,H87,J87,L87,N87,P87,R87,T87)</f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0</v>
      </c>
      <c r="P87" s="22">
        <v>0</v>
      </c>
      <c r="Q87" s="22">
        <v>0</v>
      </c>
      <c r="R87" s="22">
        <v>0</v>
      </c>
      <c r="S87" s="22">
        <v>0</v>
      </c>
      <c r="T87" s="22">
        <v>0</v>
      </c>
    </row>
    <row r="88" spans="1:20" x14ac:dyDescent="0.25">
      <c r="A88" s="20"/>
      <c r="B88" s="20" t="s">
        <v>351</v>
      </c>
      <c r="C88" s="21">
        <f>SUM(E88,G88,I88,K88,M88,O88,Q88,S88)</f>
      </c>
      <c r="D88" s="21">
        <f>SUM(F88,H88,J88,L88,N88,P88,R88,T88)</f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0</v>
      </c>
      <c r="P88" s="22">
        <v>0</v>
      </c>
      <c r="Q88" s="22">
        <v>0</v>
      </c>
      <c r="R88" s="22">
        <v>0</v>
      </c>
      <c r="S88" s="22">
        <v>0</v>
      </c>
      <c r="T88" s="22">
        <v>0</v>
      </c>
    </row>
    <row r="89" spans="1:20" x14ac:dyDescent="0.25">
      <c r="A89" s="20"/>
      <c r="B89" s="20" t="s">
        <v>352</v>
      </c>
      <c r="C89" s="21">
        <f>SUM(E89,G89,I89,K89,M89,O89,Q89,S89)</f>
      </c>
      <c r="D89" s="21">
        <f>SUM(F89,H89,J89,L89,N89,P89,R89,T89)</f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  <c r="S89" s="22">
        <v>0</v>
      </c>
      <c r="T89" s="22">
        <v>0</v>
      </c>
    </row>
    <row r="90" spans="1:20" x14ac:dyDescent="0.25">
      <c r="A90" s="20"/>
      <c r="B90" s="20" t="s">
        <v>353</v>
      </c>
      <c r="C90" s="21">
        <f>SUM(E90,G90,I90,K90,M90,O90,Q90,S90)</f>
      </c>
      <c r="D90" s="21">
        <f>SUM(F90,H90,J90,L90,N90,P90,R90,T90)</f>
      </c>
      <c r="E90" s="22">
        <v>0</v>
      </c>
      <c r="F90" s="22">
        <v>0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0</v>
      </c>
      <c r="P90" s="22">
        <v>0</v>
      </c>
      <c r="Q90" s="22">
        <v>0</v>
      </c>
      <c r="R90" s="22">
        <v>0</v>
      </c>
      <c r="S90" s="22">
        <v>0</v>
      </c>
      <c r="T90" s="22">
        <v>0</v>
      </c>
    </row>
    <row r="91" spans="1:20" x14ac:dyDescent="0.25">
      <c r="A91" s="20"/>
      <c r="B91" s="20" t="s">
        <v>354</v>
      </c>
      <c r="C91" s="21">
        <f>SUM(E91,G91,I91,K91,M91,O91,Q91,S91)</f>
      </c>
      <c r="D91" s="21">
        <f>SUM(F91,H91,J91,L91,N91,P91,R91,T91)</f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0</v>
      </c>
      <c r="T91" s="22">
        <v>0</v>
      </c>
    </row>
    <row r="92" spans="1:20" x14ac:dyDescent="0.25">
      <c r="A92" s="23" t="s">
        <v>79</v>
      </c>
      <c r="B92" s="23" t="s">
        <v>38</v>
      </c>
      <c r="C92" s="24">
        <f>SUM(C81:C91)</f>
      </c>
      <c r="D92" s="24">
        <f>SUM(D81:D91)</f>
      </c>
      <c r="E92" s="24">
        <f>SUM(E81:E91)</f>
      </c>
      <c r="F92" s="24">
        <f>SUM(F81:F91)</f>
      </c>
      <c r="G92" s="24">
        <f>SUM(G81:G91)</f>
      </c>
      <c r="H92" s="24">
        <f>SUM(H81:H91)</f>
      </c>
      <c r="I92" s="24">
        <f>SUM(I81:I91)</f>
      </c>
      <c r="J92" s="24">
        <f>SUM(J81:J91)</f>
      </c>
      <c r="K92" s="24">
        <f>SUM(K81:K91)</f>
      </c>
      <c r="L92" s="24">
        <f>SUM(L81:L91)</f>
      </c>
      <c r="M92" s="24">
        <f>SUM(M81:M91)</f>
      </c>
      <c r="N92" s="24">
        <f>SUM(N81:N91)</f>
      </c>
      <c r="O92" s="24">
        <f>SUM(O81:O91)</f>
      </c>
      <c r="P92" s="24">
        <f>SUM(P81:P91)</f>
      </c>
      <c r="Q92" s="24">
        <f>SUM(Q81:Q91)</f>
      </c>
      <c r="R92" s="24">
        <f>SUM(R81:R91)</f>
      </c>
      <c r="S92" s="24">
        <f>SUM(S81:S91)</f>
      </c>
      <c r="T92" s="24">
        <f>SUM(T81:T91)</f>
      </c>
    </row>
    <row r="93" spans="1:20" x14ac:dyDescent="0.25">
      <c r="A93" s="20" t="s">
        <v>39</v>
      </c>
      <c r="B93" s="20" t="s">
        <v>344</v>
      </c>
      <c r="C93" s="21">
        <f>SUM(E93,G93,I93,K93,M93,O93,Q93,S93)</f>
      </c>
      <c r="D93" s="21">
        <f>SUM(F93,H93,J93,L93,N93,P93,R93,T93)</f>
      </c>
      <c r="E93" s="22">
        <v>0</v>
      </c>
      <c r="F93" s="22">
        <v>0</v>
      </c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2">
        <v>0</v>
      </c>
      <c r="M93" s="22">
        <v>0</v>
      </c>
      <c r="N93" s="22">
        <v>0</v>
      </c>
      <c r="O93" s="22">
        <v>0</v>
      </c>
      <c r="P93" s="22">
        <v>0</v>
      </c>
      <c r="Q93" s="22">
        <v>0</v>
      </c>
      <c r="R93" s="22">
        <v>0</v>
      </c>
      <c r="S93" s="22">
        <v>0</v>
      </c>
      <c r="T93" s="22">
        <v>0</v>
      </c>
    </row>
    <row r="94" spans="1:20" x14ac:dyDescent="0.25">
      <c r="A94" s="20"/>
      <c r="B94" s="20" t="s">
        <v>345</v>
      </c>
      <c r="C94" s="21">
        <f>SUM(E94,G94,I94,K94,M94,O94,Q94,S94)</f>
      </c>
      <c r="D94" s="21">
        <f>SUM(F94,H94,J94,L94,N94,P94,R94,T94)</f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0</v>
      </c>
      <c r="S94" s="22">
        <v>0</v>
      </c>
      <c r="T94" s="22">
        <v>0</v>
      </c>
    </row>
    <row r="95" spans="1:20" x14ac:dyDescent="0.25">
      <c r="A95" s="20"/>
      <c r="B95" s="20" t="s">
        <v>346</v>
      </c>
      <c r="C95" s="21">
        <f>SUM(E95,G95,I95,K95,M95,O95,Q95,S95)</f>
      </c>
      <c r="D95" s="21">
        <f>SUM(F95,H95,J95,L95,N95,P95,R95,T95)</f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  <c r="S95" s="22">
        <v>0</v>
      </c>
      <c r="T95" s="22">
        <v>0</v>
      </c>
    </row>
    <row r="96" spans="1:20" x14ac:dyDescent="0.25">
      <c r="A96" s="20"/>
      <c r="B96" s="20" t="s">
        <v>347</v>
      </c>
      <c r="C96" s="21">
        <f>SUM(E96,G96,I96,K96,M96,O96,Q96,S96)</f>
      </c>
      <c r="D96" s="21">
        <f>SUM(F96,H96,J96,L96,N96,P96,R96,T96)</f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0</v>
      </c>
      <c r="T96" s="22">
        <v>0</v>
      </c>
    </row>
    <row r="97" spans="1:20" x14ac:dyDescent="0.25">
      <c r="A97" s="20"/>
      <c r="B97" s="20" t="s">
        <v>348</v>
      </c>
      <c r="C97" s="21">
        <f>SUM(E97,G97,I97,K97,M97,O97,Q97,S97)</f>
      </c>
      <c r="D97" s="21">
        <f>SUM(F97,H97,J97,L97,N97,P97,R97,T97)</f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0</v>
      </c>
      <c r="T97" s="22">
        <v>0</v>
      </c>
    </row>
    <row r="98" spans="1:20" x14ac:dyDescent="0.25">
      <c r="A98" s="20"/>
      <c r="B98" s="20" t="s">
        <v>349</v>
      </c>
      <c r="C98" s="21">
        <f>SUM(E98,G98,I98,K98,M98,O98,Q98,S98)</f>
      </c>
      <c r="D98" s="21">
        <f>SUM(F98,H98,J98,L98,N98,P98,R98,T98)</f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  <c r="S98" s="22">
        <v>0</v>
      </c>
      <c r="T98" s="22">
        <v>0</v>
      </c>
    </row>
    <row r="99" spans="1:20" x14ac:dyDescent="0.25">
      <c r="A99" s="20"/>
      <c r="B99" s="20" t="s">
        <v>350</v>
      </c>
      <c r="C99" s="21">
        <f>SUM(E99,G99,I99,K99,M99,O99,Q99,S99)</f>
      </c>
      <c r="D99" s="21">
        <f>SUM(F99,H99,J99,L99,N99,P99,R99,T99)</f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0</v>
      </c>
      <c r="P99" s="22">
        <v>0</v>
      </c>
      <c r="Q99" s="22">
        <v>0</v>
      </c>
      <c r="R99" s="22">
        <v>0</v>
      </c>
      <c r="S99" s="22">
        <v>0</v>
      </c>
      <c r="T99" s="22">
        <v>0</v>
      </c>
    </row>
    <row r="100" spans="1:20" x14ac:dyDescent="0.25">
      <c r="A100" s="20"/>
      <c r="B100" s="20" t="s">
        <v>351</v>
      </c>
      <c r="C100" s="21">
        <f>SUM(E100,G100,I100,K100,M100,O100,Q100,S100)</f>
      </c>
      <c r="D100" s="21">
        <f>SUM(F100,H100,J100,L100,N100,P100,R100,T100)</f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  <c r="S100" s="22">
        <v>0</v>
      </c>
      <c r="T100" s="22">
        <v>0</v>
      </c>
    </row>
    <row r="101" spans="1:20" x14ac:dyDescent="0.25">
      <c r="A101" s="20"/>
      <c r="B101" s="20" t="s">
        <v>352</v>
      </c>
      <c r="C101" s="21">
        <f>SUM(E101,G101,I101,K101,M101,O101,Q101,S101)</f>
      </c>
      <c r="D101" s="21">
        <f>SUM(F101,H101,J101,L101,N101,P101,R101,T101)</f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2">
        <v>0</v>
      </c>
      <c r="O101" s="22">
        <v>0</v>
      </c>
      <c r="P101" s="22">
        <v>0</v>
      </c>
      <c r="Q101" s="22">
        <v>0</v>
      </c>
      <c r="R101" s="22">
        <v>0</v>
      </c>
      <c r="S101" s="22">
        <v>0</v>
      </c>
      <c r="T101" s="22">
        <v>0</v>
      </c>
    </row>
    <row r="102" spans="1:20" x14ac:dyDescent="0.25">
      <c r="A102" s="20"/>
      <c r="B102" s="20" t="s">
        <v>353</v>
      </c>
      <c r="C102" s="21">
        <f>SUM(E102,G102,I102,K102,M102,O102,Q102,S102)</f>
      </c>
      <c r="D102" s="21">
        <f>SUM(F102,H102,J102,L102,N102,P102,R102,T102)</f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0</v>
      </c>
      <c r="P102" s="22">
        <v>0</v>
      </c>
      <c r="Q102" s="22">
        <v>0</v>
      </c>
      <c r="R102" s="22">
        <v>0</v>
      </c>
      <c r="S102" s="22">
        <v>0</v>
      </c>
      <c r="T102" s="22">
        <v>0</v>
      </c>
    </row>
    <row r="103" spans="1:20" x14ac:dyDescent="0.25">
      <c r="A103" s="20"/>
      <c r="B103" s="20" t="s">
        <v>354</v>
      </c>
      <c r="C103" s="21">
        <f>SUM(E103,G103,I103,K103,M103,O103,Q103,S103)</f>
      </c>
      <c r="D103" s="21">
        <f>SUM(F103,H103,J103,L103,N103,P103,R103,T103)</f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22">
        <v>0</v>
      </c>
      <c r="S103" s="22">
        <v>0</v>
      </c>
      <c r="T103" s="22">
        <v>0</v>
      </c>
    </row>
    <row r="104" spans="1:20" x14ac:dyDescent="0.25">
      <c r="A104" s="23" t="s">
        <v>79</v>
      </c>
      <c r="B104" s="23" t="s">
        <v>39</v>
      </c>
      <c r="C104" s="24">
        <f>SUM(C93:C103)</f>
      </c>
      <c r="D104" s="24">
        <f>SUM(D93:D103)</f>
      </c>
      <c r="E104" s="24">
        <f>SUM(E93:E103)</f>
      </c>
      <c r="F104" s="24">
        <f>SUM(F93:F103)</f>
      </c>
      <c r="G104" s="24">
        <f>SUM(G93:G103)</f>
      </c>
      <c r="H104" s="24">
        <f>SUM(H93:H103)</f>
      </c>
      <c r="I104" s="24">
        <f>SUM(I93:I103)</f>
      </c>
      <c r="J104" s="24">
        <f>SUM(J93:J103)</f>
      </c>
      <c r="K104" s="24">
        <f>SUM(K93:K103)</f>
      </c>
      <c r="L104" s="24">
        <f>SUM(L93:L103)</f>
      </c>
      <c r="M104" s="24">
        <f>SUM(M93:M103)</f>
      </c>
      <c r="N104" s="24">
        <f>SUM(N93:N103)</f>
      </c>
      <c r="O104" s="24">
        <f>SUM(O93:O103)</f>
      </c>
      <c r="P104" s="24">
        <f>SUM(P93:P103)</f>
      </c>
      <c r="Q104" s="24">
        <f>SUM(Q93:Q103)</f>
      </c>
      <c r="R104" s="24">
        <f>SUM(R93:R103)</f>
      </c>
      <c r="S104" s="24">
        <f>SUM(S93:S103)</f>
      </c>
      <c r="T104" s="24">
        <f>SUM(T93:T103)</f>
      </c>
    </row>
    <row r="105" spans="1:20" x14ac:dyDescent="0.25">
      <c r="A105" s="20" t="s">
        <v>40</v>
      </c>
      <c r="B105" s="20" t="s">
        <v>344</v>
      </c>
      <c r="C105" s="21">
        <f>SUM(E105,G105,I105,K105,M105,O105,Q105,S105)</f>
      </c>
      <c r="D105" s="21">
        <f>SUM(F105,H105,J105,L105,N105,P105,R105,T105)</f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  <c r="J105" s="22">
        <v>0</v>
      </c>
      <c r="K105" s="22">
        <v>0</v>
      </c>
      <c r="L105" s="22">
        <v>0</v>
      </c>
      <c r="M105" s="22">
        <v>0</v>
      </c>
      <c r="N105" s="22">
        <v>0</v>
      </c>
      <c r="O105" s="22">
        <v>0</v>
      </c>
      <c r="P105" s="22">
        <v>0</v>
      </c>
      <c r="Q105" s="22">
        <v>0</v>
      </c>
      <c r="R105" s="22">
        <v>0</v>
      </c>
      <c r="S105" s="22">
        <v>0</v>
      </c>
      <c r="T105" s="22">
        <v>0</v>
      </c>
    </row>
    <row r="106" spans="1:20" x14ac:dyDescent="0.25">
      <c r="A106" s="20"/>
      <c r="B106" s="20" t="s">
        <v>345</v>
      </c>
      <c r="C106" s="21">
        <f>SUM(E106,G106,I106,K106,M106,O106,Q106,S106)</f>
      </c>
      <c r="D106" s="21">
        <f>SUM(F106,H106,J106,L106,N106,P106,R106,T106)</f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2">
        <v>0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  <c r="R106" s="22">
        <v>0</v>
      </c>
      <c r="S106" s="22">
        <v>0</v>
      </c>
      <c r="T106" s="22">
        <v>0</v>
      </c>
    </row>
    <row r="107" spans="1:20" x14ac:dyDescent="0.25">
      <c r="A107" s="20"/>
      <c r="B107" s="20" t="s">
        <v>346</v>
      </c>
      <c r="C107" s="21">
        <f>SUM(E107,G107,I107,K107,M107,O107,Q107,S107)</f>
      </c>
      <c r="D107" s="21">
        <f>SUM(F107,H107,J107,L107,N107,P107,R107,T107)</f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  <c r="J107" s="22">
        <v>0</v>
      </c>
      <c r="K107" s="22">
        <v>0</v>
      </c>
      <c r="L107" s="22">
        <v>0</v>
      </c>
      <c r="M107" s="22">
        <v>0</v>
      </c>
      <c r="N107" s="22">
        <v>0</v>
      </c>
      <c r="O107" s="22">
        <v>0</v>
      </c>
      <c r="P107" s="22">
        <v>0</v>
      </c>
      <c r="Q107" s="22">
        <v>0</v>
      </c>
      <c r="R107" s="22">
        <v>0</v>
      </c>
      <c r="S107" s="22">
        <v>0</v>
      </c>
      <c r="T107" s="22">
        <v>0</v>
      </c>
    </row>
    <row r="108" spans="1:20" x14ac:dyDescent="0.25">
      <c r="A108" s="20"/>
      <c r="B108" s="20" t="s">
        <v>347</v>
      </c>
      <c r="C108" s="21">
        <f>SUM(E108,G108,I108,K108,M108,O108,Q108,S108)</f>
      </c>
      <c r="D108" s="21">
        <f>SUM(F108,H108,J108,L108,N108,P108,R108,T108)</f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2">
        <v>0</v>
      </c>
      <c r="M108" s="22">
        <v>0</v>
      </c>
      <c r="N108" s="22">
        <v>0</v>
      </c>
      <c r="O108" s="22">
        <v>0</v>
      </c>
      <c r="P108" s="22">
        <v>0</v>
      </c>
      <c r="Q108" s="22">
        <v>0</v>
      </c>
      <c r="R108" s="22">
        <v>0</v>
      </c>
      <c r="S108" s="22">
        <v>0</v>
      </c>
      <c r="T108" s="22">
        <v>0</v>
      </c>
    </row>
    <row r="109" spans="1:20" x14ac:dyDescent="0.25">
      <c r="A109" s="20"/>
      <c r="B109" s="20" t="s">
        <v>348</v>
      </c>
      <c r="C109" s="21">
        <f>SUM(E109,G109,I109,K109,M109,O109,Q109,S109)</f>
      </c>
      <c r="D109" s="21">
        <f>SUM(F109,H109,J109,L109,N109,P109,R109,T109)</f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2">
        <v>0</v>
      </c>
      <c r="M109" s="22">
        <v>0</v>
      </c>
      <c r="N109" s="22">
        <v>0</v>
      </c>
      <c r="O109" s="22">
        <v>0</v>
      </c>
      <c r="P109" s="22">
        <v>0</v>
      </c>
      <c r="Q109" s="22">
        <v>0</v>
      </c>
      <c r="R109" s="22">
        <v>0</v>
      </c>
      <c r="S109" s="22">
        <v>0</v>
      </c>
      <c r="T109" s="22">
        <v>0</v>
      </c>
    </row>
    <row r="110" spans="1:20" x14ac:dyDescent="0.25">
      <c r="A110" s="20"/>
      <c r="B110" s="20" t="s">
        <v>349</v>
      </c>
      <c r="C110" s="21">
        <f>SUM(E110,G110,I110,K110,M110,O110,Q110,S110)</f>
      </c>
      <c r="D110" s="21">
        <f>SUM(F110,H110,J110,L110,N110,P110,R110,T110)</f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  <c r="J110" s="22">
        <v>0</v>
      </c>
      <c r="K110" s="22">
        <v>0</v>
      </c>
      <c r="L110" s="22">
        <v>0</v>
      </c>
      <c r="M110" s="22">
        <v>0</v>
      </c>
      <c r="N110" s="22">
        <v>0</v>
      </c>
      <c r="O110" s="22">
        <v>0</v>
      </c>
      <c r="P110" s="22">
        <v>0</v>
      </c>
      <c r="Q110" s="22">
        <v>0</v>
      </c>
      <c r="R110" s="22">
        <v>0</v>
      </c>
      <c r="S110" s="22">
        <v>0</v>
      </c>
      <c r="T110" s="22">
        <v>0</v>
      </c>
    </row>
    <row r="111" spans="1:20" x14ac:dyDescent="0.25">
      <c r="A111" s="20"/>
      <c r="B111" s="20" t="s">
        <v>350</v>
      </c>
      <c r="C111" s="21">
        <f>SUM(E111,G111,I111,K111,M111,O111,Q111,S111)</f>
      </c>
      <c r="D111" s="21">
        <f>SUM(F111,H111,J111,L111,N111,P111,R111,T111)</f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  <c r="J111" s="22">
        <v>0</v>
      </c>
      <c r="K111" s="22">
        <v>0</v>
      </c>
      <c r="L111" s="22">
        <v>0</v>
      </c>
      <c r="M111" s="22">
        <v>0</v>
      </c>
      <c r="N111" s="22">
        <v>0</v>
      </c>
      <c r="O111" s="22">
        <v>0</v>
      </c>
      <c r="P111" s="22">
        <v>0</v>
      </c>
      <c r="Q111" s="22">
        <v>0</v>
      </c>
      <c r="R111" s="22">
        <v>0</v>
      </c>
      <c r="S111" s="22">
        <v>0</v>
      </c>
      <c r="T111" s="22">
        <v>0</v>
      </c>
    </row>
    <row r="112" spans="1:20" x14ac:dyDescent="0.25">
      <c r="A112" s="20"/>
      <c r="B112" s="20" t="s">
        <v>351</v>
      </c>
      <c r="C112" s="21">
        <f>SUM(E112,G112,I112,K112,M112,O112,Q112,S112)</f>
      </c>
      <c r="D112" s="21">
        <f>SUM(F112,H112,J112,L112,N112,P112,R112,T112)</f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  <c r="J112" s="22">
        <v>0</v>
      </c>
      <c r="K112" s="22">
        <v>0</v>
      </c>
      <c r="L112" s="22">
        <v>0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22">
        <v>0</v>
      </c>
      <c r="S112" s="22">
        <v>0</v>
      </c>
      <c r="T112" s="22">
        <v>0</v>
      </c>
    </row>
    <row r="113" spans="1:20" x14ac:dyDescent="0.25">
      <c r="A113" s="20"/>
      <c r="B113" s="20" t="s">
        <v>352</v>
      </c>
      <c r="C113" s="21">
        <f>SUM(E113,G113,I113,K113,M113,O113,Q113,S113)</f>
      </c>
      <c r="D113" s="21">
        <f>SUM(F113,H113,J113,L113,N113,P113,R113,T113)</f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>
        <v>0</v>
      </c>
      <c r="M113" s="22">
        <v>0</v>
      </c>
      <c r="N113" s="22">
        <v>0</v>
      </c>
      <c r="O113" s="22">
        <v>0</v>
      </c>
      <c r="P113" s="22">
        <v>0</v>
      </c>
      <c r="Q113" s="22">
        <v>0</v>
      </c>
      <c r="R113" s="22">
        <v>0</v>
      </c>
      <c r="S113" s="22">
        <v>0</v>
      </c>
      <c r="T113" s="22">
        <v>0</v>
      </c>
    </row>
    <row r="114" spans="1:20" x14ac:dyDescent="0.25">
      <c r="A114" s="20"/>
      <c r="B114" s="20" t="s">
        <v>353</v>
      </c>
      <c r="C114" s="21">
        <f>SUM(E114,G114,I114,K114,M114,O114,Q114,S114)</f>
      </c>
      <c r="D114" s="21">
        <f>SUM(F114,H114,J114,L114,N114,P114,R114,T114)</f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2">
        <v>0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  <c r="R114" s="22">
        <v>0</v>
      </c>
      <c r="S114" s="22">
        <v>0</v>
      </c>
      <c r="T114" s="22">
        <v>0</v>
      </c>
    </row>
    <row r="115" spans="1:20" x14ac:dyDescent="0.25">
      <c r="A115" s="20"/>
      <c r="B115" s="20" t="s">
        <v>354</v>
      </c>
      <c r="C115" s="21">
        <f>SUM(E115,G115,I115,K115,M115,O115,Q115,S115)</f>
      </c>
      <c r="D115" s="21">
        <f>SUM(F115,H115,J115,L115,N115,P115,R115,T115)</f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0</v>
      </c>
      <c r="S115" s="22">
        <v>0</v>
      </c>
      <c r="T115" s="22">
        <v>0</v>
      </c>
    </row>
    <row r="116" spans="1:20" x14ac:dyDescent="0.25">
      <c r="A116" s="23" t="s">
        <v>79</v>
      </c>
      <c r="B116" s="23" t="s">
        <v>40</v>
      </c>
      <c r="C116" s="24">
        <f>SUM(C105:C115)</f>
      </c>
      <c r="D116" s="24">
        <f>SUM(D105:D115)</f>
      </c>
      <c r="E116" s="24">
        <f>SUM(E105:E115)</f>
      </c>
      <c r="F116" s="24">
        <f>SUM(F105:F115)</f>
      </c>
      <c r="G116" s="24">
        <f>SUM(G105:G115)</f>
      </c>
      <c r="H116" s="24">
        <f>SUM(H105:H115)</f>
      </c>
      <c r="I116" s="24">
        <f>SUM(I105:I115)</f>
      </c>
      <c r="J116" s="24">
        <f>SUM(J105:J115)</f>
      </c>
      <c r="K116" s="24">
        <f>SUM(K105:K115)</f>
      </c>
      <c r="L116" s="24">
        <f>SUM(L105:L115)</f>
      </c>
      <c r="M116" s="24">
        <f>SUM(M105:M115)</f>
      </c>
      <c r="N116" s="24">
        <f>SUM(N105:N115)</f>
      </c>
      <c r="O116" s="24">
        <f>SUM(O105:O115)</f>
      </c>
      <c r="P116" s="24">
        <f>SUM(P105:P115)</f>
      </c>
      <c r="Q116" s="24">
        <f>SUM(Q105:Q115)</f>
      </c>
      <c r="R116" s="24">
        <f>SUM(R105:R115)</f>
      </c>
      <c r="S116" s="24">
        <f>SUM(S105:S115)</f>
      </c>
      <c r="T116" s="24">
        <f>SUM(T105:T115)</f>
      </c>
    </row>
    <row r="117" spans="1:20" x14ac:dyDescent="0.25">
      <c r="A117" s="23" t="s">
        <v>46</v>
      </c>
      <c r="B117" s="23" t="s">
        <v>355</v>
      </c>
      <c r="C117" s="24">
        <f>SUM(C92,C104,C116)</f>
      </c>
      <c r="D117" s="24">
        <f>SUM(D92,D104,D116)</f>
      </c>
      <c r="E117" s="24">
        <f>SUM(E92,E104,E116)</f>
      </c>
      <c r="F117" s="24">
        <f>SUM(F92,F104,F116)</f>
      </c>
      <c r="G117" s="24">
        <f>SUM(G92,G104,G116)</f>
      </c>
      <c r="H117" s="24">
        <f>SUM(H92,H104,H116)</f>
      </c>
      <c r="I117" s="24">
        <f>SUM(I92,I104,I116)</f>
      </c>
      <c r="J117" s="24">
        <f>SUM(J92,J104,J116)</f>
      </c>
      <c r="K117" s="24">
        <f>SUM(K92,K104,K116)</f>
      </c>
      <c r="L117" s="24">
        <f>SUM(L92,L104,L116)</f>
      </c>
      <c r="M117" s="24">
        <f>SUM(M92,M104,M116)</f>
      </c>
      <c r="N117" s="24">
        <f>SUM(N92,N104,N116)</f>
      </c>
      <c r="O117" s="24">
        <f>SUM(O92,O104,O116)</f>
      </c>
      <c r="P117" s="24">
        <f>SUM(P92,P104,P116)</f>
      </c>
      <c r="Q117" s="24">
        <f>SUM(Q92,Q104,Q116)</f>
      </c>
      <c r="R117" s="24">
        <f>SUM(R92,R104,R116)</f>
      </c>
      <c r="S117" s="24">
        <f>SUM(S92,S104,S116)</f>
      </c>
      <c r="T117" s="24">
        <f>SUM(T92,T104,T116)</f>
      </c>
    </row>
    <row r="119" spans="1:4" x14ac:dyDescent="0.25">
      <c r="A119" s="26" t="s">
        <v>356</v>
      </c>
      <c r="B119" s="26"/>
      <c r="C119" s="26"/>
      <c r="D119" s="26"/>
    </row>
    <row r="120" spans="1:4" x14ac:dyDescent="0.25">
      <c r="A120" s="19" t="s">
        <v>187</v>
      </c>
      <c r="B120" s="19" t="s">
        <v>145</v>
      </c>
      <c r="C120" s="19" t="s">
        <v>357</v>
      </c>
      <c r="D120" s="19" t="s">
        <v>358</v>
      </c>
    </row>
    <row r="121" spans="1:4" x14ac:dyDescent="0.25">
      <c r="A121" s="20" t="s">
        <v>150</v>
      </c>
      <c r="B121" s="20" t="s">
        <v>359</v>
      </c>
      <c r="C121" s="21">
        <f>C10</f>
      </c>
      <c r="D121" s="21">
        <f>D10</f>
      </c>
    </row>
    <row r="122" spans="1:4" x14ac:dyDescent="0.25">
      <c r="A122" s="20" t="s">
        <v>152</v>
      </c>
      <c r="B122" s="20" t="s">
        <v>359</v>
      </c>
      <c r="C122" s="21">
        <f>C36</f>
      </c>
      <c r="D122" s="21">
        <f>D36</f>
      </c>
    </row>
    <row r="123" spans="1:4" x14ac:dyDescent="0.25">
      <c r="A123" s="20" t="s">
        <v>154</v>
      </c>
      <c r="B123" s="20" t="s">
        <v>359</v>
      </c>
      <c r="C123" s="21">
        <f>C50</f>
      </c>
      <c r="D123" s="21">
        <f>D50</f>
      </c>
    </row>
    <row r="124" spans="1:4" x14ac:dyDescent="0.25">
      <c r="A124" s="20" t="s">
        <v>192</v>
      </c>
      <c r="B124" s="20" t="s">
        <v>359</v>
      </c>
      <c r="C124" s="21">
        <f>C76</f>
      </c>
      <c r="D124" s="21">
        <f>D76</f>
      </c>
    </row>
    <row r="125" spans="1:4" x14ac:dyDescent="0.25">
      <c r="A125" s="20" t="s">
        <v>193</v>
      </c>
      <c r="B125" s="20" t="s">
        <v>359</v>
      </c>
      <c r="C125" s="21">
        <f>C117</f>
      </c>
      <c r="D125" s="21">
        <f>D117</f>
      </c>
    </row>
    <row r="126" spans="1:4" x14ac:dyDescent="0.25">
      <c r="A126" s="23" t="s">
        <v>360</v>
      </c>
      <c r="B126" s="23" t="s">
        <v>361</v>
      </c>
      <c r="C126" s="24">
        <f>SUM(C121:C125)</f>
      </c>
      <c r="D126" s="24">
        <f>SUM(D121:D125)</f>
      </c>
    </row>
  </sheetData>
  <mergeCells count="63">
    <mergeCell ref="A2:P2"/>
    <mergeCell ref="C5:D5"/>
    <mergeCell ref="E5:F5"/>
    <mergeCell ref="G5:H5"/>
    <mergeCell ref="I5:J5"/>
    <mergeCell ref="A5:A6"/>
    <mergeCell ref="B5:B6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A13:A14"/>
    <mergeCell ref="B13:B14"/>
    <mergeCell ref="A15:A20"/>
    <mergeCell ref="A22:A27"/>
    <mergeCell ref="A29:A34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A39:A40"/>
    <mergeCell ref="B39:B40"/>
    <mergeCell ref="C53:D53"/>
    <mergeCell ref="E53:F53"/>
    <mergeCell ref="G53:H53"/>
    <mergeCell ref="I53:J53"/>
    <mergeCell ref="K53:L53"/>
    <mergeCell ref="M53:N53"/>
    <mergeCell ref="O53:P53"/>
    <mergeCell ref="Q53:R53"/>
    <mergeCell ref="S53:T53"/>
    <mergeCell ref="A53:A54"/>
    <mergeCell ref="B53:B54"/>
    <mergeCell ref="A55:A60"/>
    <mergeCell ref="A62:A67"/>
    <mergeCell ref="A69:A74"/>
    <mergeCell ref="C79:D79"/>
    <mergeCell ref="E79:F79"/>
    <mergeCell ref="G79:H79"/>
    <mergeCell ref="I79:J79"/>
    <mergeCell ref="K79:L79"/>
    <mergeCell ref="M79:N79"/>
    <mergeCell ref="O79:P79"/>
    <mergeCell ref="Q79:R79"/>
    <mergeCell ref="S79:T79"/>
    <mergeCell ref="A79:A80"/>
    <mergeCell ref="B79:B80"/>
    <mergeCell ref="A81:A91"/>
    <mergeCell ref="A93:A103"/>
    <mergeCell ref="A105:A115"/>
    <mergeCell ref="A119:D119"/>
  </mergeCells>
  <dataValidations count="660">
    <dataValidation type="whole" operator="lessThanOrEqual" allowBlank="1" showErrorMessage="1" errorTitle="Mensagem de Erro" error="F não pode ser Superior a MF" sqref="F100">
      <formula1>E100</formula1>
    </dataValidation>
    <dataValidation type="whole" operator="lessThanOrEqual" allowBlank="1" showErrorMessage="1" errorTitle="Mensagem de Erro" error="F não pode ser Superior a MF" sqref="F101">
      <formula1>E101</formula1>
    </dataValidation>
    <dataValidation type="whole" operator="lessThanOrEqual" allowBlank="1" showErrorMessage="1" errorTitle="Mensagem de Erro" error="F não pode ser Superior a MF" sqref="F102">
      <formula1>E102</formula1>
    </dataValidation>
    <dataValidation type="whole" operator="lessThanOrEqual" allowBlank="1" showErrorMessage="1" errorTitle="Mensagem de Erro" error="F não pode ser Superior a MF" sqref="F103">
      <formula1>E103</formula1>
    </dataValidation>
    <dataValidation type="whole" operator="lessThanOrEqual" allowBlank="1" showErrorMessage="1" errorTitle="Mensagem de Erro" error="F não pode ser Superior a MF" sqref="F105">
      <formula1>E105</formula1>
    </dataValidation>
    <dataValidation type="whole" operator="lessThanOrEqual" allowBlank="1" showErrorMessage="1" errorTitle="Mensagem de Erro" error="F não pode ser Superior a MF" sqref="F106">
      <formula1>E106</formula1>
    </dataValidation>
    <dataValidation type="whole" operator="lessThanOrEqual" allowBlank="1" showErrorMessage="1" errorTitle="Mensagem de Erro" error="F não pode ser Superior a MF" sqref="F107">
      <formula1>E107</formula1>
    </dataValidation>
    <dataValidation type="whole" operator="lessThanOrEqual" allowBlank="1" showErrorMessage="1" errorTitle="Mensagem de Erro" error="F não pode ser Superior a MF" sqref="F108">
      <formula1>E108</formula1>
    </dataValidation>
    <dataValidation type="whole" operator="lessThanOrEqual" allowBlank="1" showErrorMessage="1" errorTitle="Mensagem de Erro" error="F não pode ser Superior a MF" sqref="F109">
      <formula1>E109</formula1>
    </dataValidation>
    <dataValidation type="whole" operator="lessThanOrEqual" allowBlank="1" showErrorMessage="1" errorTitle="Mensagem de Erro" error="F não pode ser Superior a MF" sqref="F110">
      <formula1>E110</formula1>
    </dataValidation>
    <dataValidation type="whole" operator="lessThanOrEqual" allowBlank="1" showErrorMessage="1" errorTitle="Mensagem de Erro" error="F não pode ser Superior a MF" sqref="F111">
      <formula1>E111</formula1>
    </dataValidation>
    <dataValidation type="whole" operator="lessThanOrEqual" allowBlank="1" showErrorMessage="1" errorTitle="Mensagem de Erro" error="F não pode ser Superior a MF" sqref="F112">
      <formula1>E112</formula1>
    </dataValidation>
    <dataValidation type="whole" operator="lessThanOrEqual" allowBlank="1" showErrorMessage="1" errorTitle="Mensagem de Erro" error="F não pode ser Superior a MF" sqref="F113">
      <formula1>E113</formula1>
    </dataValidation>
    <dataValidation type="whole" operator="lessThanOrEqual" allowBlank="1" showErrorMessage="1" errorTitle="Mensagem de Erro" error="F não pode ser Superior a MF" sqref="F114">
      <formula1>E114</formula1>
    </dataValidation>
    <dataValidation type="whole" operator="lessThanOrEqual" allowBlank="1" showErrorMessage="1" errorTitle="Mensagem de Erro" error="F não pode ser Superior a MF" sqref="F115">
      <formula1>E115</formula1>
    </dataValidation>
    <dataValidation type="whole" operator="lessThanOrEqual" allowBlank="1" showErrorMessage="1" errorTitle="Mensagem de Erro" error="F não pode ser Superior a MF" sqref="F15">
      <formula1>E15</formula1>
    </dataValidation>
    <dataValidation type="whole" operator="lessThanOrEqual" allowBlank="1" showErrorMessage="1" errorTitle="Mensagem de Erro" error="F não pode ser Superior a MF" sqref="F16">
      <formula1>E16</formula1>
    </dataValidation>
    <dataValidation type="whole" operator="lessThanOrEqual" allowBlank="1" showErrorMessage="1" errorTitle="Mensagem de Erro" error="F não pode ser Superior a MF" sqref="F17">
      <formula1>E17</formula1>
    </dataValidation>
    <dataValidation type="whole" operator="lessThanOrEqual" allowBlank="1" showErrorMessage="1" errorTitle="Mensagem de Erro" error="F não pode ser Superior a MF" sqref="F18">
      <formula1>E18</formula1>
    </dataValidation>
    <dataValidation type="whole" operator="lessThanOrEqual" allowBlank="1" showErrorMessage="1" errorTitle="Mensagem de Erro" error="F não pode ser Superior a MF" sqref="F19">
      <formula1>E19</formula1>
    </dataValidation>
    <dataValidation type="whole" operator="lessThanOrEqual" allowBlank="1" showErrorMessage="1" errorTitle="Mensagem de Erro" error="F não pode ser Superior a MF" sqref="F20">
      <formula1>E20</formula1>
    </dataValidation>
    <dataValidation type="whole" operator="lessThanOrEqual" allowBlank="1" showErrorMessage="1" errorTitle="Mensagem de Erro" error="F não pode ser Superior a MF" sqref="F22">
      <formula1>E22</formula1>
    </dataValidation>
    <dataValidation type="whole" operator="lessThanOrEqual" allowBlank="1" showErrorMessage="1" errorTitle="Mensagem de Erro" error="F não pode ser Superior a MF" sqref="F23">
      <formula1>E23</formula1>
    </dataValidation>
    <dataValidation type="whole" operator="lessThanOrEqual" allowBlank="1" showErrorMessage="1" errorTitle="Mensagem de Erro" error="F não pode ser Superior a MF" sqref="F24">
      <formula1>E24</formula1>
    </dataValidation>
    <dataValidation type="whole" operator="lessThanOrEqual" allowBlank="1" showErrorMessage="1" errorTitle="Mensagem de Erro" error="F não pode ser Superior a MF" sqref="F25">
      <formula1>E25</formula1>
    </dataValidation>
    <dataValidation type="whole" operator="lessThanOrEqual" allowBlank="1" showErrorMessage="1" errorTitle="Mensagem de Erro" error="F não pode ser Superior a MF" sqref="F26">
      <formula1>E26</formula1>
    </dataValidation>
    <dataValidation type="whole" operator="lessThanOrEqual" allowBlank="1" showErrorMessage="1" errorTitle="Mensagem de Erro" error="F não pode ser Superior a MF" sqref="F27">
      <formula1>E27</formula1>
    </dataValidation>
    <dataValidation type="whole" operator="lessThanOrEqual" allowBlank="1" showErrorMessage="1" errorTitle="Mensagem de Erro" error="F não pode ser Superior a MF" sqref="F29">
      <formula1>E29</formula1>
    </dataValidation>
    <dataValidation type="whole" operator="lessThanOrEqual" allowBlank="1" showErrorMessage="1" errorTitle="Mensagem de Erro" error="F não pode ser Superior a MF" sqref="F30">
      <formula1>E30</formula1>
    </dataValidation>
    <dataValidation type="whole" operator="lessThanOrEqual" allowBlank="1" showErrorMessage="1" errorTitle="Mensagem de Erro" error="F não pode ser Superior a MF" sqref="F31">
      <formula1>E31</formula1>
    </dataValidation>
    <dataValidation type="whole" operator="lessThanOrEqual" allowBlank="1" showErrorMessage="1" errorTitle="Mensagem de Erro" error="F não pode ser Superior a MF" sqref="F32">
      <formula1>E32</formula1>
    </dataValidation>
    <dataValidation type="whole" operator="lessThanOrEqual" allowBlank="1" showErrorMessage="1" errorTitle="Mensagem de Erro" error="F não pode ser Superior a MF" sqref="F33">
      <formula1>E33</formula1>
    </dataValidation>
    <dataValidation type="whole" operator="lessThanOrEqual" allowBlank="1" showErrorMessage="1" errorTitle="Mensagem de Erro" error="F não pode ser Superior a MF" sqref="F34">
      <formula1>E34</formula1>
    </dataValidation>
    <dataValidation type="whole" operator="lessThanOrEqual" allowBlank="1" showErrorMessage="1" errorTitle="Mensagem de Erro" error="F não pode ser Superior a MF" sqref="F41">
      <formula1>E41</formula1>
    </dataValidation>
    <dataValidation type="whole" operator="lessThanOrEqual" allowBlank="1" showErrorMessage="1" errorTitle="Mensagem de Erro" error="F não pode ser Superior a MF" sqref="F42">
      <formula1>E42</formula1>
    </dataValidation>
    <dataValidation type="whole" operator="lessThanOrEqual" allowBlank="1" showErrorMessage="1" errorTitle="Mensagem de Erro" error="F não pode ser Superior a MF" sqref="F43">
      <formula1>E43</formula1>
    </dataValidation>
    <dataValidation type="whole" operator="lessThanOrEqual" allowBlank="1" showErrorMessage="1" errorTitle="Mensagem de Erro" error="F não pode ser Superior a MF" sqref="F44">
      <formula1>E44</formula1>
    </dataValidation>
    <dataValidation type="whole" operator="lessThanOrEqual" allowBlank="1" showErrorMessage="1" errorTitle="Mensagem de Erro" error="F não pode ser Superior a MF" sqref="F45">
      <formula1>E45</formula1>
    </dataValidation>
    <dataValidation type="whole" operator="lessThanOrEqual" allowBlank="1" showErrorMessage="1" errorTitle="Mensagem de Erro" error="F não pode ser Superior a MF" sqref="F46">
      <formula1>E46</formula1>
    </dataValidation>
    <dataValidation type="whole" operator="lessThanOrEqual" allowBlank="1" showErrorMessage="1" errorTitle="Mensagem de Erro" error="F não pode ser Superior a MF" sqref="F47">
      <formula1>E47</formula1>
    </dataValidation>
    <dataValidation type="whole" operator="lessThanOrEqual" allowBlank="1" showErrorMessage="1" errorTitle="Mensagem de Erro" error="F não pode ser Superior a MF" sqref="F48">
      <formula1>E48</formula1>
    </dataValidation>
    <dataValidation type="whole" operator="lessThanOrEqual" allowBlank="1" showErrorMessage="1" errorTitle="Mensagem de Erro" error="F não pode ser Superior a MF" sqref="F49">
      <formula1>E49</formula1>
    </dataValidation>
    <dataValidation type="whole" operator="lessThanOrEqual" allowBlank="1" showErrorMessage="1" errorTitle="Mensagem de Erro" error="F não pode ser Superior a MF" sqref="F55">
      <formula1>E55</formula1>
    </dataValidation>
    <dataValidation type="whole" operator="lessThanOrEqual" allowBlank="1" showErrorMessage="1" errorTitle="Mensagem de Erro" error="F não pode ser Superior a MF" sqref="F56">
      <formula1>E56</formula1>
    </dataValidation>
    <dataValidation type="whole" operator="lessThanOrEqual" allowBlank="1" showErrorMessage="1" errorTitle="Mensagem de Erro" error="F não pode ser Superior a MF" sqref="F57">
      <formula1>E57</formula1>
    </dataValidation>
    <dataValidation type="whole" operator="lessThanOrEqual" allowBlank="1" showErrorMessage="1" errorTitle="Mensagem de Erro" error="F não pode ser Superior a MF" sqref="F58">
      <formula1>E58</formula1>
    </dataValidation>
    <dataValidation type="whole" operator="lessThanOrEqual" allowBlank="1" showErrorMessage="1" errorTitle="Mensagem de Erro" error="F não pode ser Superior a MF" sqref="F59">
      <formula1>E59</formula1>
    </dataValidation>
    <dataValidation type="whole" operator="lessThanOrEqual" allowBlank="1" showErrorMessage="1" errorTitle="Mensagem de Erro" error="F não pode ser Superior a MF" sqref="F60">
      <formula1>E60</formula1>
    </dataValidation>
    <dataValidation type="whole" operator="lessThanOrEqual" allowBlank="1" showErrorMessage="1" errorTitle="Mensagem de Erro" error="F não pode ser Superior a MF" sqref="F62">
      <formula1>E62</formula1>
    </dataValidation>
    <dataValidation type="whole" operator="lessThanOrEqual" allowBlank="1" showErrorMessage="1" errorTitle="Mensagem de Erro" error="F não pode ser Superior a MF" sqref="F63">
      <formula1>E63</formula1>
    </dataValidation>
    <dataValidation type="whole" operator="lessThanOrEqual" allowBlank="1" showErrorMessage="1" errorTitle="Mensagem de Erro" error="F não pode ser Superior a MF" sqref="F64">
      <formula1>E64</formula1>
    </dataValidation>
    <dataValidation type="whole" operator="lessThanOrEqual" allowBlank="1" showErrorMessage="1" errorTitle="Mensagem de Erro" error="F não pode ser Superior a MF" sqref="F65">
      <formula1>E65</formula1>
    </dataValidation>
    <dataValidation type="whole" operator="lessThanOrEqual" allowBlank="1" showErrorMessage="1" errorTitle="Mensagem de Erro" error="F não pode ser Superior a MF" sqref="F66">
      <formula1>E66</formula1>
    </dataValidation>
    <dataValidation type="whole" operator="lessThanOrEqual" allowBlank="1" showErrorMessage="1" errorTitle="Mensagem de Erro" error="F não pode ser Superior a MF" sqref="F67">
      <formula1>E67</formula1>
    </dataValidation>
    <dataValidation type="whole" operator="lessThanOrEqual" allowBlank="1" showErrorMessage="1" errorTitle="Mensagem de Erro" error="F não pode ser Superior a MF" sqref="F69">
      <formula1>E69</formula1>
    </dataValidation>
    <dataValidation type="whole" operator="lessThanOrEqual" allowBlank="1" showErrorMessage="1" errorTitle="Mensagem de Erro" error="F não pode ser Superior a MF" sqref="F7">
      <formula1>E7</formula1>
    </dataValidation>
    <dataValidation type="whole" operator="lessThanOrEqual" allowBlank="1" showErrorMessage="1" errorTitle="Mensagem de Erro" error="F não pode ser Superior a MF" sqref="F70">
      <formula1>E70</formula1>
    </dataValidation>
    <dataValidation type="whole" operator="lessThanOrEqual" allowBlank="1" showErrorMessage="1" errorTitle="Mensagem de Erro" error="F não pode ser Superior a MF" sqref="F71">
      <formula1>E71</formula1>
    </dataValidation>
    <dataValidation type="whole" operator="lessThanOrEqual" allowBlank="1" showErrorMessage="1" errorTitle="Mensagem de Erro" error="F não pode ser Superior a MF" sqref="F72">
      <formula1>E72</formula1>
    </dataValidation>
    <dataValidation type="whole" operator="lessThanOrEqual" allowBlank="1" showErrorMessage="1" errorTitle="Mensagem de Erro" error="F não pode ser Superior a MF" sqref="F73">
      <formula1>E73</formula1>
    </dataValidation>
    <dataValidation type="whole" operator="lessThanOrEqual" allowBlank="1" showErrorMessage="1" errorTitle="Mensagem de Erro" error="F não pode ser Superior a MF" sqref="F74">
      <formula1>E74</formula1>
    </dataValidation>
    <dataValidation type="whole" operator="lessThanOrEqual" allowBlank="1" showErrorMessage="1" errorTitle="Mensagem de Erro" error="F não pode ser Superior a MF" sqref="F8">
      <formula1>E8</formula1>
    </dataValidation>
    <dataValidation type="whole" operator="lessThanOrEqual" allowBlank="1" showErrorMessage="1" errorTitle="Mensagem de Erro" error="F não pode ser Superior a MF" sqref="F81">
      <formula1>E81</formula1>
    </dataValidation>
    <dataValidation type="whole" operator="lessThanOrEqual" allowBlank="1" showErrorMessage="1" errorTitle="Mensagem de Erro" error="F não pode ser Superior a MF" sqref="F82">
      <formula1>E82</formula1>
    </dataValidation>
    <dataValidation type="whole" operator="lessThanOrEqual" allowBlank="1" showErrorMessage="1" errorTitle="Mensagem de Erro" error="F não pode ser Superior a MF" sqref="F83">
      <formula1>E83</formula1>
    </dataValidation>
    <dataValidation type="whole" operator="lessThanOrEqual" allowBlank="1" showErrorMessage="1" errorTitle="Mensagem de Erro" error="F não pode ser Superior a MF" sqref="F84">
      <formula1>E84</formula1>
    </dataValidation>
    <dataValidation type="whole" operator="lessThanOrEqual" allowBlank="1" showErrorMessage="1" errorTitle="Mensagem de Erro" error="F não pode ser Superior a MF" sqref="F85">
      <formula1>E85</formula1>
    </dataValidation>
    <dataValidation type="whole" operator="lessThanOrEqual" allowBlank="1" showErrorMessage="1" errorTitle="Mensagem de Erro" error="F não pode ser Superior a MF" sqref="F86">
      <formula1>E86</formula1>
    </dataValidation>
    <dataValidation type="whole" operator="lessThanOrEqual" allowBlank="1" showErrorMessage="1" errorTitle="Mensagem de Erro" error="F não pode ser Superior a MF" sqref="F87">
      <formula1>E87</formula1>
    </dataValidation>
    <dataValidation type="whole" operator="lessThanOrEqual" allowBlank="1" showErrorMessage="1" errorTitle="Mensagem de Erro" error="F não pode ser Superior a MF" sqref="F88">
      <formula1>E88</formula1>
    </dataValidation>
    <dataValidation type="whole" operator="lessThanOrEqual" allowBlank="1" showErrorMessage="1" errorTitle="Mensagem de Erro" error="F não pode ser Superior a MF" sqref="F89">
      <formula1>E89</formula1>
    </dataValidation>
    <dataValidation type="whole" operator="lessThanOrEqual" allowBlank="1" showErrorMessage="1" errorTitle="Mensagem de Erro" error="F não pode ser Superior a MF" sqref="F9">
      <formula1>E9</formula1>
    </dataValidation>
    <dataValidation type="whole" operator="lessThanOrEqual" allowBlank="1" showErrorMessage="1" errorTitle="Mensagem de Erro" error="F não pode ser Superior a MF" sqref="F90">
      <formula1>E90</formula1>
    </dataValidation>
    <dataValidation type="whole" operator="lessThanOrEqual" allowBlank="1" showErrorMessage="1" errorTitle="Mensagem de Erro" error="F não pode ser Superior a MF" sqref="F91">
      <formula1>E91</formula1>
    </dataValidation>
    <dataValidation type="whole" operator="lessThanOrEqual" allowBlank="1" showErrorMessage="1" errorTitle="Mensagem de Erro" error="F não pode ser Superior a MF" sqref="F93">
      <formula1>E93</formula1>
    </dataValidation>
    <dataValidation type="whole" operator="lessThanOrEqual" allowBlank="1" showErrorMessage="1" errorTitle="Mensagem de Erro" error="F não pode ser Superior a MF" sqref="F94">
      <formula1>E94</formula1>
    </dataValidation>
    <dataValidation type="whole" operator="lessThanOrEqual" allowBlank="1" showErrorMessage="1" errorTitle="Mensagem de Erro" error="F não pode ser Superior a MF" sqref="F95">
      <formula1>E95</formula1>
    </dataValidation>
    <dataValidation type="whole" operator="lessThanOrEqual" allowBlank="1" showErrorMessage="1" errorTitle="Mensagem de Erro" error="F não pode ser Superior a MF" sqref="F96">
      <formula1>E96</formula1>
    </dataValidation>
    <dataValidation type="whole" operator="lessThanOrEqual" allowBlank="1" showErrorMessage="1" errorTitle="Mensagem de Erro" error="F não pode ser Superior a MF" sqref="F97">
      <formula1>E97</formula1>
    </dataValidation>
    <dataValidation type="whole" operator="lessThanOrEqual" allowBlank="1" showErrorMessage="1" errorTitle="Mensagem de Erro" error="F não pode ser Superior a MF" sqref="F98">
      <formula1>E98</formula1>
    </dataValidation>
    <dataValidation type="whole" operator="lessThanOrEqual" allowBlank="1" showErrorMessage="1" errorTitle="Mensagem de Erro" error="F não pode ser Superior a MF" sqref="F99">
      <formula1>E99</formula1>
    </dataValidation>
    <dataValidation type="whole" operator="lessThanOrEqual" allowBlank="1" showErrorMessage="1" errorTitle="Mensagem de Erro" error="F não pode ser Superior a MF" sqref="H100">
      <formula1>G100</formula1>
    </dataValidation>
    <dataValidation type="whole" operator="lessThanOrEqual" allowBlank="1" showErrorMessage="1" errorTitle="Mensagem de Erro" error="F não pode ser Superior a MF" sqref="H101">
      <formula1>G101</formula1>
    </dataValidation>
    <dataValidation type="whole" operator="lessThanOrEqual" allowBlank="1" showErrorMessage="1" errorTitle="Mensagem de Erro" error="F não pode ser Superior a MF" sqref="H102">
      <formula1>G102</formula1>
    </dataValidation>
    <dataValidation type="whole" operator="lessThanOrEqual" allowBlank="1" showErrorMessage="1" errorTitle="Mensagem de Erro" error="F não pode ser Superior a MF" sqref="H103">
      <formula1>G103</formula1>
    </dataValidation>
    <dataValidation type="whole" operator="lessThanOrEqual" allowBlank="1" showErrorMessage="1" errorTitle="Mensagem de Erro" error="F não pode ser Superior a MF" sqref="H105">
      <formula1>G105</formula1>
    </dataValidation>
    <dataValidation type="whole" operator="lessThanOrEqual" allowBlank="1" showErrorMessage="1" errorTitle="Mensagem de Erro" error="F não pode ser Superior a MF" sqref="H106">
      <formula1>G106</formula1>
    </dataValidation>
    <dataValidation type="whole" operator="lessThanOrEqual" allowBlank="1" showErrorMessage="1" errorTitle="Mensagem de Erro" error="F não pode ser Superior a MF" sqref="H107">
      <formula1>G107</formula1>
    </dataValidation>
    <dataValidation type="whole" operator="lessThanOrEqual" allowBlank="1" showErrorMessage="1" errorTitle="Mensagem de Erro" error="F não pode ser Superior a MF" sqref="H108">
      <formula1>G108</formula1>
    </dataValidation>
    <dataValidation type="whole" operator="lessThanOrEqual" allowBlank="1" showErrorMessage="1" errorTitle="Mensagem de Erro" error="F não pode ser Superior a MF" sqref="H109">
      <formula1>G109</formula1>
    </dataValidation>
    <dataValidation type="whole" operator="lessThanOrEqual" allowBlank="1" showErrorMessage="1" errorTitle="Mensagem de Erro" error="F não pode ser Superior a MF" sqref="H110">
      <formula1>G110</formula1>
    </dataValidation>
    <dataValidation type="whole" operator="lessThanOrEqual" allowBlank="1" showErrorMessage="1" errorTitle="Mensagem de Erro" error="F não pode ser Superior a MF" sqref="H111">
      <formula1>G111</formula1>
    </dataValidation>
    <dataValidation type="whole" operator="lessThanOrEqual" allowBlank="1" showErrorMessage="1" errorTitle="Mensagem de Erro" error="F não pode ser Superior a MF" sqref="H112">
      <formula1>G112</formula1>
    </dataValidation>
    <dataValidation type="whole" operator="lessThanOrEqual" allowBlank="1" showErrorMessage="1" errorTitle="Mensagem de Erro" error="F não pode ser Superior a MF" sqref="H113">
      <formula1>G113</formula1>
    </dataValidation>
    <dataValidation type="whole" operator="lessThanOrEqual" allowBlank="1" showErrorMessage="1" errorTitle="Mensagem de Erro" error="F não pode ser Superior a MF" sqref="H114">
      <formula1>G114</formula1>
    </dataValidation>
    <dataValidation type="whole" operator="lessThanOrEqual" allowBlank="1" showErrorMessage="1" errorTitle="Mensagem de Erro" error="F não pode ser Superior a MF" sqref="H115">
      <formula1>G115</formula1>
    </dataValidation>
    <dataValidation type="whole" operator="lessThanOrEqual" allowBlank="1" showErrorMessage="1" errorTitle="Mensagem de Erro" error="F não pode ser Superior a MF" sqref="H15">
      <formula1>G15</formula1>
    </dataValidation>
    <dataValidation type="whole" operator="lessThanOrEqual" allowBlank="1" showErrorMessage="1" errorTitle="Mensagem de Erro" error="F não pode ser Superior a MF" sqref="H16">
      <formula1>G16</formula1>
    </dataValidation>
    <dataValidation type="whole" operator="lessThanOrEqual" allowBlank="1" showErrorMessage="1" errorTitle="Mensagem de Erro" error="F não pode ser Superior a MF" sqref="H17">
      <formula1>G17</formula1>
    </dataValidation>
    <dataValidation type="whole" operator="lessThanOrEqual" allowBlank="1" showErrorMessage="1" errorTitle="Mensagem de Erro" error="F não pode ser Superior a MF" sqref="H18">
      <formula1>G18</formula1>
    </dataValidation>
    <dataValidation type="whole" operator="lessThanOrEqual" allowBlank="1" showErrorMessage="1" errorTitle="Mensagem de Erro" error="F não pode ser Superior a MF" sqref="H19">
      <formula1>G19</formula1>
    </dataValidation>
    <dataValidation type="whole" operator="lessThanOrEqual" allowBlank="1" showErrorMessage="1" errorTitle="Mensagem de Erro" error="F não pode ser Superior a MF" sqref="H20">
      <formula1>G20</formula1>
    </dataValidation>
    <dataValidation type="whole" operator="lessThanOrEqual" allowBlank="1" showErrorMessage="1" errorTitle="Mensagem de Erro" error="F não pode ser Superior a MF" sqref="H22">
      <formula1>G22</formula1>
    </dataValidation>
    <dataValidation type="whole" operator="lessThanOrEqual" allowBlank="1" showErrorMessage="1" errorTitle="Mensagem de Erro" error="F não pode ser Superior a MF" sqref="H23">
      <formula1>G23</formula1>
    </dataValidation>
    <dataValidation type="whole" operator="lessThanOrEqual" allowBlank="1" showErrorMessage="1" errorTitle="Mensagem de Erro" error="F não pode ser Superior a MF" sqref="H24">
      <formula1>G24</formula1>
    </dataValidation>
    <dataValidation type="whole" operator="lessThanOrEqual" allowBlank="1" showErrorMessage="1" errorTitle="Mensagem de Erro" error="F não pode ser Superior a MF" sqref="H25">
      <formula1>G25</formula1>
    </dataValidation>
    <dataValidation type="whole" operator="lessThanOrEqual" allowBlank="1" showErrorMessage="1" errorTitle="Mensagem de Erro" error="F não pode ser Superior a MF" sqref="H26">
      <formula1>G26</formula1>
    </dataValidation>
    <dataValidation type="whole" operator="lessThanOrEqual" allowBlank="1" showErrorMessage="1" errorTitle="Mensagem de Erro" error="F não pode ser Superior a MF" sqref="H27">
      <formula1>G27</formula1>
    </dataValidation>
    <dataValidation type="whole" operator="lessThanOrEqual" allowBlank="1" showErrorMessage="1" errorTitle="Mensagem de Erro" error="F não pode ser Superior a MF" sqref="H29">
      <formula1>G29</formula1>
    </dataValidation>
    <dataValidation type="whole" operator="lessThanOrEqual" allowBlank="1" showErrorMessage="1" errorTitle="Mensagem de Erro" error="F não pode ser Superior a MF" sqref="H30">
      <formula1>G30</formula1>
    </dataValidation>
    <dataValidation type="whole" operator="lessThanOrEqual" allowBlank="1" showErrorMessage="1" errorTitle="Mensagem de Erro" error="F não pode ser Superior a MF" sqref="H31">
      <formula1>G31</formula1>
    </dataValidation>
    <dataValidation type="whole" operator="lessThanOrEqual" allowBlank="1" showErrorMessage="1" errorTitle="Mensagem de Erro" error="F não pode ser Superior a MF" sqref="H32">
      <formula1>G32</formula1>
    </dataValidation>
    <dataValidation type="whole" operator="lessThanOrEqual" allowBlank="1" showErrorMessage="1" errorTitle="Mensagem de Erro" error="F não pode ser Superior a MF" sqref="H33">
      <formula1>G33</formula1>
    </dataValidation>
    <dataValidation type="whole" operator="lessThanOrEqual" allowBlank="1" showErrorMessage="1" errorTitle="Mensagem de Erro" error="F não pode ser Superior a MF" sqref="H34">
      <formula1>G34</formula1>
    </dataValidation>
    <dataValidation type="whole" operator="lessThanOrEqual" allowBlank="1" showErrorMessage="1" errorTitle="Mensagem de Erro" error="F não pode ser Superior a MF" sqref="H41">
      <formula1>G41</formula1>
    </dataValidation>
    <dataValidation type="whole" operator="lessThanOrEqual" allowBlank="1" showErrorMessage="1" errorTitle="Mensagem de Erro" error="F não pode ser Superior a MF" sqref="H42">
      <formula1>G42</formula1>
    </dataValidation>
    <dataValidation type="whole" operator="lessThanOrEqual" allowBlank="1" showErrorMessage="1" errorTitle="Mensagem de Erro" error="F não pode ser Superior a MF" sqref="H43">
      <formula1>G43</formula1>
    </dataValidation>
    <dataValidation type="whole" operator="lessThanOrEqual" allowBlank="1" showErrorMessage="1" errorTitle="Mensagem de Erro" error="F não pode ser Superior a MF" sqref="H44">
      <formula1>G44</formula1>
    </dataValidation>
    <dataValidation type="whole" operator="lessThanOrEqual" allowBlank="1" showErrorMessage="1" errorTitle="Mensagem de Erro" error="F não pode ser Superior a MF" sqref="H45">
      <formula1>G45</formula1>
    </dataValidation>
    <dataValidation type="whole" operator="lessThanOrEqual" allowBlank="1" showErrorMessage="1" errorTitle="Mensagem de Erro" error="F não pode ser Superior a MF" sqref="H46">
      <formula1>G46</formula1>
    </dataValidation>
    <dataValidation type="whole" operator="lessThanOrEqual" allowBlank="1" showErrorMessage="1" errorTitle="Mensagem de Erro" error="F não pode ser Superior a MF" sqref="H47">
      <formula1>G47</formula1>
    </dataValidation>
    <dataValidation type="whole" operator="lessThanOrEqual" allowBlank="1" showErrorMessage="1" errorTitle="Mensagem de Erro" error="F não pode ser Superior a MF" sqref="H48">
      <formula1>G48</formula1>
    </dataValidation>
    <dataValidation type="whole" operator="lessThanOrEqual" allowBlank="1" showErrorMessage="1" errorTitle="Mensagem de Erro" error="F não pode ser Superior a MF" sqref="H49">
      <formula1>G49</formula1>
    </dataValidation>
    <dataValidation type="whole" operator="lessThanOrEqual" allowBlank="1" showErrorMessage="1" errorTitle="Mensagem de Erro" error="F não pode ser Superior a MF" sqref="H55">
      <formula1>G55</formula1>
    </dataValidation>
    <dataValidation type="whole" operator="lessThanOrEqual" allowBlank="1" showErrorMessage="1" errorTitle="Mensagem de Erro" error="F não pode ser Superior a MF" sqref="H56">
      <formula1>G56</formula1>
    </dataValidation>
    <dataValidation type="whole" operator="lessThanOrEqual" allowBlank="1" showErrorMessage="1" errorTitle="Mensagem de Erro" error="F não pode ser Superior a MF" sqref="H57">
      <formula1>G57</formula1>
    </dataValidation>
    <dataValidation type="whole" operator="lessThanOrEqual" allowBlank="1" showErrorMessage="1" errorTitle="Mensagem de Erro" error="F não pode ser Superior a MF" sqref="H58">
      <formula1>G58</formula1>
    </dataValidation>
    <dataValidation type="whole" operator="lessThanOrEqual" allowBlank="1" showErrorMessage="1" errorTitle="Mensagem de Erro" error="F não pode ser Superior a MF" sqref="H59">
      <formula1>G59</formula1>
    </dataValidation>
    <dataValidation type="whole" operator="lessThanOrEqual" allowBlank="1" showErrorMessage="1" errorTitle="Mensagem de Erro" error="F não pode ser Superior a MF" sqref="H60">
      <formula1>G60</formula1>
    </dataValidation>
    <dataValidation type="whole" operator="lessThanOrEqual" allowBlank="1" showErrorMessage="1" errorTitle="Mensagem de Erro" error="F não pode ser Superior a MF" sqref="H62">
      <formula1>G62</formula1>
    </dataValidation>
    <dataValidation type="whole" operator="lessThanOrEqual" allowBlank="1" showErrorMessage="1" errorTitle="Mensagem de Erro" error="F não pode ser Superior a MF" sqref="H63">
      <formula1>G63</formula1>
    </dataValidation>
    <dataValidation type="whole" operator="lessThanOrEqual" allowBlank="1" showErrorMessage="1" errorTitle="Mensagem de Erro" error="F não pode ser Superior a MF" sqref="H64">
      <formula1>G64</formula1>
    </dataValidation>
    <dataValidation type="whole" operator="lessThanOrEqual" allowBlank="1" showErrorMessage="1" errorTitle="Mensagem de Erro" error="F não pode ser Superior a MF" sqref="H65">
      <formula1>G65</formula1>
    </dataValidation>
    <dataValidation type="whole" operator="lessThanOrEqual" allowBlank="1" showErrorMessage="1" errorTitle="Mensagem de Erro" error="F não pode ser Superior a MF" sqref="H66">
      <formula1>G66</formula1>
    </dataValidation>
    <dataValidation type="whole" operator="lessThanOrEqual" allowBlank="1" showErrorMessage="1" errorTitle="Mensagem de Erro" error="F não pode ser Superior a MF" sqref="H67">
      <formula1>G67</formula1>
    </dataValidation>
    <dataValidation type="whole" operator="lessThanOrEqual" allowBlank="1" showErrorMessage="1" errorTitle="Mensagem de Erro" error="F não pode ser Superior a MF" sqref="H69">
      <formula1>G69</formula1>
    </dataValidation>
    <dataValidation type="whole" operator="lessThanOrEqual" allowBlank="1" showErrorMessage="1" errorTitle="Mensagem de Erro" error="F não pode ser Superior a MF" sqref="H7">
      <formula1>G7</formula1>
    </dataValidation>
    <dataValidation type="whole" operator="lessThanOrEqual" allowBlank="1" showErrorMessage="1" errorTitle="Mensagem de Erro" error="F não pode ser Superior a MF" sqref="H70">
      <formula1>G70</formula1>
    </dataValidation>
    <dataValidation type="whole" operator="lessThanOrEqual" allowBlank="1" showErrorMessage="1" errorTitle="Mensagem de Erro" error="F não pode ser Superior a MF" sqref="H71">
      <formula1>G71</formula1>
    </dataValidation>
    <dataValidation type="whole" operator="lessThanOrEqual" allowBlank="1" showErrorMessage="1" errorTitle="Mensagem de Erro" error="F não pode ser Superior a MF" sqref="H72">
      <formula1>G72</formula1>
    </dataValidation>
    <dataValidation type="whole" operator="lessThanOrEqual" allowBlank="1" showErrorMessage="1" errorTitle="Mensagem de Erro" error="F não pode ser Superior a MF" sqref="H73">
      <formula1>G73</formula1>
    </dataValidation>
    <dataValidation type="whole" operator="lessThanOrEqual" allowBlank="1" showErrorMessage="1" errorTitle="Mensagem de Erro" error="F não pode ser Superior a MF" sqref="H74">
      <formula1>G74</formula1>
    </dataValidation>
    <dataValidation type="whole" operator="lessThanOrEqual" allowBlank="1" showErrorMessage="1" errorTitle="Mensagem de Erro" error="F não pode ser Superior a MF" sqref="H8">
      <formula1>G8</formula1>
    </dataValidation>
    <dataValidation type="whole" operator="lessThanOrEqual" allowBlank="1" showErrorMessage="1" errorTitle="Mensagem de Erro" error="F não pode ser Superior a MF" sqref="H81">
      <formula1>G81</formula1>
    </dataValidation>
    <dataValidation type="whole" operator="lessThanOrEqual" allowBlank="1" showErrorMessage="1" errorTitle="Mensagem de Erro" error="F não pode ser Superior a MF" sqref="H82">
      <formula1>G82</formula1>
    </dataValidation>
    <dataValidation type="whole" operator="lessThanOrEqual" allowBlank="1" showErrorMessage="1" errorTitle="Mensagem de Erro" error="F não pode ser Superior a MF" sqref="H83">
      <formula1>G83</formula1>
    </dataValidation>
    <dataValidation type="whole" operator="lessThanOrEqual" allowBlank="1" showErrorMessage="1" errorTitle="Mensagem de Erro" error="F não pode ser Superior a MF" sqref="H84">
      <formula1>G84</formula1>
    </dataValidation>
    <dataValidation type="whole" operator="lessThanOrEqual" allowBlank="1" showErrorMessage="1" errorTitle="Mensagem de Erro" error="F não pode ser Superior a MF" sqref="H85">
      <formula1>G85</formula1>
    </dataValidation>
    <dataValidation type="whole" operator="lessThanOrEqual" allowBlank="1" showErrorMessage="1" errorTitle="Mensagem de Erro" error="F não pode ser Superior a MF" sqref="H86">
      <formula1>G86</formula1>
    </dataValidation>
    <dataValidation type="whole" operator="lessThanOrEqual" allowBlank="1" showErrorMessage="1" errorTitle="Mensagem de Erro" error="F não pode ser Superior a MF" sqref="H87">
      <formula1>G87</formula1>
    </dataValidation>
    <dataValidation type="whole" operator="lessThanOrEqual" allowBlank="1" showErrorMessage="1" errorTitle="Mensagem de Erro" error="F não pode ser Superior a MF" sqref="H88">
      <formula1>G88</formula1>
    </dataValidation>
    <dataValidation type="whole" operator="lessThanOrEqual" allowBlank="1" showErrorMessage="1" errorTitle="Mensagem de Erro" error="F não pode ser Superior a MF" sqref="H89">
      <formula1>G89</formula1>
    </dataValidation>
    <dataValidation type="whole" operator="lessThanOrEqual" allowBlank="1" showErrorMessage="1" errorTitle="Mensagem de Erro" error="F não pode ser Superior a MF" sqref="H9">
      <formula1>G9</formula1>
    </dataValidation>
    <dataValidation type="whole" operator="lessThanOrEqual" allowBlank="1" showErrorMessage="1" errorTitle="Mensagem de Erro" error="F não pode ser Superior a MF" sqref="H90">
      <formula1>G90</formula1>
    </dataValidation>
    <dataValidation type="whole" operator="lessThanOrEqual" allowBlank="1" showErrorMessage="1" errorTitle="Mensagem de Erro" error="F não pode ser Superior a MF" sqref="H91">
      <formula1>G91</formula1>
    </dataValidation>
    <dataValidation type="whole" operator="lessThanOrEqual" allowBlank="1" showErrorMessage="1" errorTitle="Mensagem de Erro" error="F não pode ser Superior a MF" sqref="H93">
      <formula1>G93</formula1>
    </dataValidation>
    <dataValidation type="whole" operator="lessThanOrEqual" allowBlank="1" showErrorMessage="1" errorTitle="Mensagem de Erro" error="F não pode ser Superior a MF" sqref="H94">
      <formula1>G94</formula1>
    </dataValidation>
    <dataValidation type="whole" operator="lessThanOrEqual" allowBlank="1" showErrorMessage="1" errorTitle="Mensagem de Erro" error="F não pode ser Superior a MF" sqref="H95">
      <formula1>G95</formula1>
    </dataValidation>
    <dataValidation type="whole" operator="lessThanOrEqual" allowBlank="1" showErrorMessage="1" errorTitle="Mensagem de Erro" error="F não pode ser Superior a MF" sqref="H96">
      <formula1>G96</formula1>
    </dataValidation>
    <dataValidation type="whole" operator="lessThanOrEqual" allowBlank="1" showErrorMessage="1" errorTitle="Mensagem de Erro" error="F não pode ser Superior a MF" sqref="H97">
      <formula1>G97</formula1>
    </dataValidation>
    <dataValidation type="whole" operator="lessThanOrEqual" allowBlank="1" showErrorMessage="1" errorTitle="Mensagem de Erro" error="F não pode ser Superior a MF" sqref="H98">
      <formula1>G98</formula1>
    </dataValidation>
    <dataValidation type="whole" operator="lessThanOrEqual" allowBlank="1" showErrorMessage="1" errorTitle="Mensagem de Erro" error="F não pode ser Superior a MF" sqref="H99">
      <formula1>G99</formula1>
    </dataValidation>
    <dataValidation type="whole" operator="lessThanOrEqual" allowBlank="1" showErrorMessage="1" errorTitle="Mensagem de Erro" error="F não pode ser Superior a MF" sqref="J100">
      <formula1>I100</formula1>
    </dataValidation>
    <dataValidation type="whole" operator="lessThanOrEqual" allowBlank="1" showErrorMessage="1" errorTitle="Mensagem de Erro" error="F não pode ser Superior a MF" sqref="J101">
      <formula1>I101</formula1>
    </dataValidation>
    <dataValidation type="whole" operator="lessThanOrEqual" allowBlank="1" showErrorMessage="1" errorTitle="Mensagem de Erro" error="F não pode ser Superior a MF" sqref="J102">
      <formula1>I102</formula1>
    </dataValidation>
    <dataValidation type="whole" operator="lessThanOrEqual" allowBlank="1" showErrorMessage="1" errorTitle="Mensagem de Erro" error="F não pode ser Superior a MF" sqref="J103">
      <formula1>I103</formula1>
    </dataValidation>
    <dataValidation type="whole" operator="lessThanOrEqual" allowBlank="1" showErrorMessage="1" errorTitle="Mensagem de Erro" error="F não pode ser Superior a MF" sqref="J105">
      <formula1>I105</formula1>
    </dataValidation>
    <dataValidation type="whole" operator="lessThanOrEqual" allowBlank="1" showErrorMessage="1" errorTitle="Mensagem de Erro" error="F não pode ser Superior a MF" sqref="J106">
      <formula1>I106</formula1>
    </dataValidation>
    <dataValidation type="whole" operator="lessThanOrEqual" allowBlank="1" showErrorMessage="1" errorTitle="Mensagem de Erro" error="F não pode ser Superior a MF" sqref="J107">
      <formula1>I107</formula1>
    </dataValidation>
    <dataValidation type="whole" operator="lessThanOrEqual" allowBlank="1" showErrorMessage="1" errorTitle="Mensagem de Erro" error="F não pode ser Superior a MF" sqref="J108">
      <formula1>I108</formula1>
    </dataValidation>
    <dataValidation type="whole" operator="lessThanOrEqual" allowBlank="1" showErrorMessage="1" errorTitle="Mensagem de Erro" error="F não pode ser Superior a MF" sqref="J109">
      <formula1>I109</formula1>
    </dataValidation>
    <dataValidation type="whole" operator="lessThanOrEqual" allowBlank="1" showErrorMessage="1" errorTitle="Mensagem de Erro" error="F não pode ser Superior a MF" sqref="J110">
      <formula1>I110</formula1>
    </dataValidation>
    <dataValidation type="whole" operator="lessThanOrEqual" allowBlank="1" showErrorMessage="1" errorTitle="Mensagem de Erro" error="F não pode ser Superior a MF" sqref="J111">
      <formula1>I111</formula1>
    </dataValidation>
    <dataValidation type="whole" operator="lessThanOrEqual" allowBlank="1" showErrorMessage="1" errorTitle="Mensagem de Erro" error="F não pode ser Superior a MF" sqref="J112">
      <formula1>I112</formula1>
    </dataValidation>
    <dataValidation type="whole" operator="lessThanOrEqual" allowBlank="1" showErrorMessage="1" errorTitle="Mensagem de Erro" error="F não pode ser Superior a MF" sqref="J113">
      <formula1>I113</formula1>
    </dataValidation>
    <dataValidation type="whole" operator="lessThanOrEqual" allowBlank="1" showErrorMessage="1" errorTitle="Mensagem de Erro" error="F não pode ser Superior a MF" sqref="J114">
      <formula1>I114</formula1>
    </dataValidation>
    <dataValidation type="whole" operator="lessThanOrEqual" allowBlank="1" showErrorMessage="1" errorTitle="Mensagem de Erro" error="F não pode ser Superior a MF" sqref="J115">
      <formula1>I115</formula1>
    </dataValidation>
    <dataValidation type="whole" operator="lessThanOrEqual" allowBlank="1" showErrorMessage="1" errorTitle="Mensagem de Erro" error="F não pode ser Superior a MF" sqref="J15">
      <formula1>I15</formula1>
    </dataValidation>
    <dataValidation type="whole" operator="lessThanOrEqual" allowBlank="1" showErrorMessage="1" errorTitle="Mensagem de Erro" error="F não pode ser Superior a MF" sqref="J16">
      <formula1>I16</formula1>
    </dataValidation>
    <dataValidation type="whole" operator="lessThanOrEqual" allowBlank="1" showErrorMessage="1" errorTitle="Mensagem de Erro" error="F não pode ser Superior a MF" sqref="J17">
      <formula1>I17</formula1>
    </dataValidation>
    <dataValidation type="whole" operator="lessThanOrEqual" allowBlank="1" showErrorMessage="1" errorTitle="Mensagem de Erro" error="F não pode ser Superior a MF" sqref="J18">
      <formula1>I18</formula1>
    </dataValidation>
    <dataValidation type="whole" operator="lessThanOrEqual" allowBlank="1" showErrorMessage="1" errorTitle="Mensagem de Erro" error="F não pode ser Superior a MF" sqref="J19">
      <formula1>I19</formula1>
    </dataValidation>
    <dataValidation type="whole" operator="lessThanOrEqual" allowBlank="1" showErrorMessage="1" errorTitle="Mensagem de Erro" error="F não pode ser Superior a MF" sqref="J20">
      <formula1>I20</formula1>
    </dataValidation>
    <dataValidation type="whole" operator="lessThanOrEqual" allowBlank="1" showErrorMessage="1" errorTitle="Mensagem de Erro" error="F não pode ser Superior a MF" sqref="J22">
      <formula1>I22</formula1>
    </dataValidation>
    <dataValidation type="whole" operator="lessThanOrEqual" allowBlank="1" showErrorMessage="1" errorTitle="Mensagem de Erro" error="F não pode ser Superior a MF" sqref="J23">
      <formula1>I23</formula1>
    </dataValidation>
    <dataValidation type="whole" operator="lessThanOrEqual" allowBlank="1" showErrorMessage="1" errorTitle="Mensagem de Erro" error="F não pode ser Superior a MF" sqref="J24">
      <formula1>I24</formula1>
    </dataValidation>
    <dataValidation type="whole" operator="lessThanOrEqual" allowBlank="1" showErrorMessage="1" errorTitle="Mensagem de Erro" error="F não pode ser Superior a MF" sqref="J25">
      <formula1>I25</formula1>
    </dataValidation>
    <dataValidation type="whole" operator="lessThanOrEqual" allowBlank="1" showErrorMessage="1" errorTitle="Mensagem de Erro" error="F não pode ser Superior a MF" sqref="J26">
      <formula1>I26</formula1>
    </dataValidation>
    <dataValidation type="whole" operator="lessThanOrEqual" allowBlank="1" showErrorMessage="1" errorTitle="Mensagem de Erro" error="F não pode ser Superior a MF" sqref="J27">
      <formula1>I27</formula1>
    </dataValidation>
    <dataValidation type="whole" operator="lessThanOrEqual" allowBlank="1" showErrorMessage="1" errorTitle="Mensagem de Erro" error="F não pode ser Superior a MF" sqref="J29">
      <formula1>I29</formula1>
    </dataValidation>
    <dataValidation type="whole" operator="lessThanOrEqual" allowBlank="1" showErrorMessage="1" errorTitle="Mensagem de Erro" error="F não pode ser Superior a MF" sqref="J30">
      <formula1>I30</formula1>
    </dataValidation>
    <dataValidation type="whole" operator="lessThanOrEqual" allowBlank="1" showErrorMessage="1" errorTitle="Mensagem de Erro" error="F não pode ser Superior a MF" sqref="J31">
      <formula1>I31</formula1>
    </dataValidation>
    <dataValidation type="whole" operator="lessThanOrEqual" allowBlank="1" showErrorMessage="1" errorTitle="Mensagem de Erro" error="F não pode ser Superior a MF" sqref="J32">
      <formula1>I32</formula1>
    </dataValidation>
    <dataValidation type="whole" operator="lessThanOrEqual" allowBlank="1" showErrorMessage="1" errorTitle="Mensagem de Erro" error="F não pode ser Superior a MF" sqref="J33">
      <formula1>I33</formula1>
    </dataValidation>
    <dataValidation type="whole" operator="lessThanOrEqual" allowBlank="1" showErrorMessage="1" errorTitle="Mensagem de Erro" error="F não pode ser Superior a MF" sqref="J34">
      <formula1>I34</formula1>
    </dataValidation>
    <dataValidation type="whole" operator="lessThanOrEqual" allowBlank="1" showErrorMessage="1" errorTitle="Mensagem de Erro" error="F não pode ser Superior a MF" sqref="J41">
      <formula1>I41</formula1>
    </dataValidation>
    <dataValidation type="whole" operator="lessThanOrEqual" allowBlank="1" showErrorMessage="1" errorTitle="Mensagem de Erro" error="F não pode ser Superior a MF" sqref="J42">
      <formula1>I42</formula1>
    </dataValidation>
    <dataValidation type="whole" operator="lessThanOrEqual" allowBlank="1" showErrorMessage="1" errorTitle="Mensagem de Erro" error="F não pode ser Superior a MF" sqref="J43">
      <formula1>I43</formula1>
    </dataValidation>
    <dataValidation type="whole" operator="lessThanOrEqual" allowBlank="1" showErrorMessage="1" errorTitle="Mensagem de Erro" error="F não pode ser Superior a MF" sqref="J44">
      <formula1>I44</formula1>
    </dataValidation>
    <dataValidation type="whole" operator="lessThanOrEqual" allowBlank="1" showErrorMessage="1" errorTitle="Mensagem de Erro" error="F não pode ser Superior a MF" sqref="J45">
      <formula1>I45</formula1>
    </dataValidation>
    <dataValidation type="whole" operator="lessThanOrEqual" allowBlank="1" showErrorMessage="1" errorTitle="Mensagem de Erro" error="F não pode ser Superior a MF" sqref="J46">
      <formula1>I46</formula1>
    </dataValidation>
    <dataValidation type="whole" operator="lessThanOrEqual" allowBlank="1" showErrorMessage="1" errorTitle="Mensagem de Erro" error="F não pode ser Superior a MF" sqref="J47">
      <formula1>I47</formula1>
    </dataValidation>
    <dataValidation type="whole" operator="lessThanOrEqual" allowBlank="1" showErrorMessage="1" errorTitle="Mensagem de Erro" error="F não pode ser Superior a MF" sqref="J48">
      <formula1>I48</formula1>
    </dataValidation>
    <dataValidation type="whole" operator="lessThanOrEqual" allowBlank="1" showErrorMessage="1" errorTitle="Mensagem de Erro" error="F não pode ser Superior a MF" sqref="J49">
      <formula1>I49</formula1>
    </dataValidation>
    <dataValidation type="whole" operator="lessThanOrEqual" allowBlank="1" showErrorMessage="1" errorTitle="Mensagem de Erro" error="F não pode ser Superior a MF" sqref="J55">
      <formula1>I55</formula1>
    </dataValidation>
    <dataValidation type="whole" operator="lessThanOrEqual" allowBlank="1" showErrorMessage="1" errorTitle="Mensagem de Erro" error="F não pode ser Superior a MF" sqref="J56">
      <formula1>I56</formula1>
    </dataValidation>
    <dataValidation type="whole" operator="lessThanOrEqual" allowBlank="1" showErrorMessage="1" errorTitle="Mensagem de Erro" error="F não pode ser Superior a MF" sqref="J57">
      <formula1>I57</formula1>
    </dataValidation>
    <dataValidation type="whole" operator="lessThanOrEqual" allowBlank="1" showErrorMessage="1" errorTitle="Mensagem de Erro" error="F não pode ser Superior a MF" sqref="J58">
      <formula1>I58</formula1>
    </dataValidation>
    <dataValidation type="whole" operator="lessThanOrEqual" allowBlank="1" showErrorMessage="1" errorTitle="Mensagem de Erro" error="F não pode ser Superior a MF" sqref="J59">
      <formula1>I59</formula1>
    </dataValidation>
    <dataValidation type="whole" operator="lessThanOrEqual" allowBlank="1" showErrorMessage="1" errorTitle="Mensagem de Erro" error="F não pode ser Superior a MF" sqref="J60">
      <formula1>I60</formula1>
    </dataValidation>
    <dataValidation type="whole" operator="lessThanOrEqual" allowBlank="1" showErrorMessage="1" errorTitle="Mensagem de Erro" error="F não pode ser Superior a MF" sqref="J62">
      <formula1>I62</formula1>
    </dataValidation>
    <dataValidation type="whole" operator="lessThanOrEqual" allowBlank="1" showErrorMessage="1" errorTitle="Mensagem de Erro" error="F não pode ser Superior a MF" sqref="J63">
      <formula1>I63</formula1>
    </dataValidation>
    <dataValidation type="whole" operator="lessThanOrEqual" allowBlank="1" showErrorMessage="1" errorTitle="Mensagem de Erro" error="F não pode ser Superior a MF" sqref="J64">
      <formula1>I64</formula1>
    </dataValidation>
    <dataValidation type="whole" operator="lessThanOrEqual" allowBlank="1" showErrorMessage="1" errorTitle="Mensagem de Erro" error="F não pode ser Superior a MF" sqref="J65">
      <formula1>I65</formula1>
    </dataValidation>
    <dataValidation type="whole" operator="lessThanOrEqual" allowBlank="1" showErrorMessage="1" errorTitle="Mensagem de Erro" error="F não pode ser Superior a MF" sqref="J66">
      <formula1>I66</formula1>
    </dataValidation>
    <dataValidation type="whole" operator="lessThanOrEqual" allowBlank="1" showErrorMessage="1" errorTitle="Mensagem de Erro" error="F não pode ser Superior a MF" sqref="J67">
      <formula1>I67</formula1>
    </dataValidation>
    <dataValidation type="whole" operator="lessThanOrEqual" allowBlank="1" showErrorMessage="1" errorTitle="Mensagem de Erro" error="F não pode ser Superior a MF" sqref="J69">
      <formula1>I69</formula1>
    </dataValidation>
    <dataValidation type="whole" operator="lessThanOrEqual" allowBlank="1" showErrorMessage="1" errorTitle="Mensagem de Erro" error="F não pode ser Superior a MF" sqref="J7">
      <formula1>I7</formula1>
    </dataValidation>
    <dataValidation type="whole" operator="lessThanOrEqual" allowBlank="1" showErrorMessage="1" errorTitle="Mensagem de Erro" error="F não pode ser Superior a MF" sqref="J70">
      <formula1>I70</formula1>
    </dataValidation>
    <dataValidation type="whole" operator="lessThanOrEqual" allowBlank="1" showErrorMessage="1" errorTitle="Mensagem de Erro" error="F não pode ser Superior a MF" sqref="J71">
      <formula1>I71</formula1>
    </dataValidation>
    <dataValidation type="whole" operator="lessThanOrEqual" allowBlank="1" showErrorMessage="1" errorTitle="Mensagem de Erro" error="F não pode ser Superior a MF" sqref="J72">
      <formula1>I72</formula1>
    </dataValidation>
    <dataValidation type="whole" operator="lessThanOrEqual" allowBlank="1" showErrorMessage="1" errorTitle="Mensagem de Erro" error="F não pode ser Superior a MF" sqref="J73">
      <formula1>I73</formula1>
    </dataValidation>
    <dataValidation type="whole" operator="lessThanOrEqual" allowBlank="1" showErrorMessage="1" errorTitle="Mensagem de Erro" error="F não pode ser Superior a MF" sqref="J74">
      <formula1>I74</formula1>
    </dataValidation>
    <dataValidation type="whole" operator="lessThanOrEqual" allowBlank="1" showErrorMessage="1" errorTitle="Mensagem de Erro" error="F não pode ser Superior a MF" sqref="J8">
      <formula1>I8</formula1>
    </dataValidation>
    <dataValidation type="whole" operator="lessThanOrEqual" allowBlank="1" showErrorMessage="1" errorTitle="Mensagem de Erro" error="F não pode ser Superior a MF" sqref="J81">
      <formula1>I81</formula1>
    </dataValidation>
    <dataValidation type="whole" operator="lessThanOrEqual" allowBlank="1" showErrorMessage="1" errorTitle="Mensagem de Erro" error="F não pode ser Superior a MF" sqref="J82">
      <formula1>I82</formula1>
    </dataValidation>
    <dataValidation type="whole" operator="lessThanOrEqual" allowBlank="1" showErrorMessage="1" errorTitle="Mensagem de Erro" error="F não pode ser Superior a MF" sqref="J83">
      <formula1>I83</formula1>
    </dataValidation>
    <dataValidation type="whole" operator="lessThanOrEqual" allowBlank="1" showErrorMessage="1" errorTitle="Mensagem de Erro" error="F não pode ser Superior a MF" sqref="J84">
      <formula1>I84</formula1>
    </dataValidation>
    <dataValidation type="whole" operator="lessThanOrEqual" allowBlank="1" showErrorMessage="1" errorTitle="Mensagem de Erro" error="F não pode ser Superior a MF" sqref="J85">
      <formula1>I85</formula1>
    </dataValidation>
    <dataValidation type="whole" operator="lessThanOrEqual" allowBlank="1" showErrorMessage="1" errorTitle="Mensagem de Erro" error="F não pode ser Superior a MF" sqref="J86">
      <formula1>I86</formula1>
    </dataValidation>
    <dataValidation type="whole" operator="lessThanOrEqual" allowBlank="1" showErrorMessage="1" errorTitle="Mensagem de Erro" error="F não pode ser Superior a MF" sqref="J87">
      <formula1>I87</formula1>
    </dataValidation>
    <dataValidation type="whole" operator="lessThanOrEqual" allowBlank="1" showErrorMessage="1" errorTitle="Mensagem de Erro" error="F não pode ser Superior a MF" sqref="J88">
      <formula1>I88</formula1>
    </dataValidation>
    <dataValidation type="whole" operator="lessThanOrEqual" allowBlank="1" showErrorMessage="1" errorTitle="Mensagem de Erro" error="F não pode ser Superior a MF" sqref="J89">
      <formula1>I89</formula1>
    </dataValidation>
    <dataValidation type="whole" operator="lessThanOrEqual" allowBlank="1" showErrorMessage="1" errorTitle="Mensagem de Erro" error="F não pode ser Superior a MF" sqref="J9">
      <formula1>I9</formula1>
    </dataValidation>
    <dataValidation type="whole" operator="lessThanOrEqual" allowBlank="1" showErrorMessage="1" errorTitle="Mensagem de Erro" error="F não pode ser Superior a MF" sqref="J90">
      <formula1>I90</formula1>
    </dataValidation>
    <dataValidation type="whole" operator="lessThanOrEqual" allowBlank="1" showErrorMessage="1" errorTitle="Mensagem de Erro" error="F não pode ser Superior a MF" sqref="J91">
      <formula1>I91</formula1>
    </dataValidation>
    <dataValidation type="whole" operator="lessThanOrEqual" allowBlank="1" showErrorMessage="1" errorTitle="Mensagem de Erro" error="F não pode ser Superior a MF" sqref="J93">
      <formula1>I93</formula1>
    </dataValidation>
    <dataValidation type="whole" operator="lessThanOrEqual" allowBlank="1" showErrorMessage="1" errorTitle="Mensagem de Erro" error="F não pode ser Superior a MF" sqref="J94">
      <formula1>I94</formula1>
    </dataValidation>
    <dataValidation type="whole" operator="lessThanOrEqual" allowBlank="1" showErrorMessage="1" errorTitle="Mensagem de Erro" error="F não pode ser Superior a MF" sqref="J95">
      <formula1>I95</formula1>
    </dataValidation>
    <dataValidation type="whole" operator="lessThanOrEqual" allowBlank="1" showErrorMessage="1" errorTitle="Mensagem de Erro" error="F não pode ser Superior a MF" sqref="J96">
      <formula1>I96</formula1>
    </dataValidation>
    <dataValidation type="whole" operator="lessThanOrEqual" allowBlank="1" showErrorMessage="1" errorTitle="Mensagem de Erro" error="F não pode ser Superior a MF" sqref="J97">
      <formula1>I97</formula1>
    </dataValidation>
    <dataValidation type="whole" operator="lessThanOrEqual" allowBlank="1" showErrorMessage="1" errorTitle="Mensagem de Erro" error="F não pode ser Superior a MF" sqref="J98">
      <formula1>I98</formula1>
    </dataValidation>
    <dataValidation type="whole" operator="lessThanOrEqual" allowBlank="1" showErrorMessage="1" errorTitle="Mensagem de Erro" error="F não pode ser Superior a MF" sqref="J99">
      <formula1>I99</formula1>
    </dataValidation>
    <dataValidation type="whole" operator="lessThanOrEqual" allowBlank="1" showErrorMessage="1" errorTitle="Mensagem de Erro" error="F não pode ser Superior a MF" sqref="L100">
      <formula1>K100</formula1>
    </dataValidation>
    <dataValidation type="whole" operator="lessThanOrEqual" allowBlank="1" showErrorMessage="1" errorTitle="Mensagem de Erro" error="F não pode ser Superior a MF" sqref="L101">
      <formula1>K101</formula1>
    </dataValidation>
    <dataValidation type="whole" operator="lessThanOrEqual" allowBlank="1" showErrorMessage="1" errorTitle="Mensagem de Erro" error="F não pode ser Superior a MF" sqref="L102">
      <formula1>K102</formula1>
    </dataValidation>
    <dataValidation type="whole" operator="lessThanOrEqual" allowBlank="1" showErrorMessage="1" errorTitle="Mensagem de Erro" error="F não pode ser Superior a MF" sqref="L103">
      <formula1>K103</formula1>
    </dataValidation>
    <dataValidation type="whole" operator="lessThanOrEqual" allowBlank="1" showErrorMessage="1" errorTitle="Mensagem de Erro" error="F não pode ser Superior a MF" sqref="L105">
      <formula1>K105</formula1>
    </dataValidation>
    <dataValidation type="whole" operator="lessThanOrEqual" allowBlank="1" showErrorMessage="1" errorTitle="Mensagem de Erro" error="F não pode ser Superior a MF" sqref="L106">
      <formula1>K106</formula1>
    </dataValidation>
    <dataValidation type="whole" operator="lessThanOrEqual" allowBlank="1" showErrorMessage="1" errorTitle="Mensagem de Erro" error="F não pode ser Superior a MF" sqref="L107">
      <formula1>K107</formula1>
    </dataValidation>
    <dataValidation type="whole" operator="lessThanOrEqual" allowBlank="1" showErrorMessage="1" errorTitle="Mensagem de Erro" error="F não pode ser Superior a MF" sqref="L108">
      <formula1>K108</formula1>
    </dataValidation>
    <dataValidation type="whole" operator="lessThanOrEqual" allowBlank="1" showErrorMessage="1" errorTitle="Mensagem de Erro" error="F não pode ser Superior a MF" sqref="L109">
      <formula1>K109</formula1>
    </dataValidation>
    <dataValidation type="whole" operator="lessThanOrEqual" allowBlank="1" showErrorMessage="1" errorTitle="Mensagem de Erro" error="F não pode ser Superior a MF" sqref="L110">
      <formula1>K110</formula1>
    </dataValidation>
    <dataValidation type="whole" operator="lessThanOrEqual" allowBlank="1" showErrorMessage="1" errorTitle="Mensagem de Erro" error="F não pode ser Superior a MF" sqref="L111">
      <formula1>K111</formula1>
    </dataValidation>
    <dataValidation type="whole" operator="lessThanOrEqual" allowBlank="1" showErrorMessage="1" errorTitle="Mensagem de Erro" error="F não pode ser Superior a MF" sqref="L112">
      <formula1>K112</formula1>
    </dataValidation>
    <dataValidation type="whole" operator="lessThanOrEqual" allowBlank="1" showErrorMessage="1" errorTitle="Mensagem de Erro" error="F não pode ser Superior a MF" sqref="L113">
      <formula1>K113</formula1>
    </dataValidation>
    <dataValidation type="whole" operator="lessThanOrEqual" allowBlank="1" showErrorMessage="1" errorTitle="Mensagem de Erro" error="F não pode ser Superior a MF" sqref="L114">
      <formula1>K114</formula1>
    </dataValidation>
    <dataValidation type="whole" operator="lessThanOrEqual" allowBlank="1" showErrorMessage="1" errorTitle="Mensagem de Erro" error="F não pode ser Superior a MF" sqref="L115">
      <formula1>K115</formula1>
    </dataValidation>
    <dataValidation type="whole" operator="lessThanOrEqual" allowBlank="1" showErrorMessage="1" errorTitle="Mensagem de Erro" error="F não pode ser Superior a MF" sqref="L15">
      <formula1>K15</formula1>
    </dataValidation>
    <dataValidation type="whole" operator="lessThanOrEqual" allowBlank="1" showErrorMessage="1" errorTitle="Mensagem de Erro" error="F não pode ser Superior a MF" sqref="L16">
      <formula1>K16</formula1>
    </dataValidation>
    <dataValidation type="whole" operator="lessThanOrEqual" allowBlank="1" showErrorMessage="1" errorTitle="Mensagem de Erro" error="F não pode ser Superior a MF" sqref="L17">
      <formula1>K17</formula1>
    </dataValidation>
    <dataValidation type="whole" operator="lessThanOrEqual" allowBlank="1" showErrorMessage="1" errorTitle="Mensagem de Erro" error="F não pode ser Superior a MF" sqref="L18">
      <formula1>K18</formula1>
    </dataValidation>
    <dataValidation type="whole" operator="lessThanOrEqual" allowBlank="1" showErrorMessage="1" errorTitle="Mensagem de Erro" error="F não pode ser Superior a MF" sqref="L19">
      <formula1>K19</formula1>
    </dataValidation>
    <dataValidation type="whole" operator="lessThanOrEqual" allowBlank="1" showErrorMessage="1" errorTitle="Mensagem de Erro" error="F não pode ser Superior a MF" sqref="L20">
      <formula1>K20</formula1>
    </dataValidation>
    <dataValidation type="whole" operator="lessThanOrEqual" allowBlank="1" showErrorMessage="1" errorTitle="Mensagem de Erro" error="F não pode ser Superior a MF" sqref="L22">
      <formula1>K22</formula1>
    </dataValidation>
    <dataValidation type="whole" operator="lessThanOrEqual" allowBlank="1" showErrorMessage="1" errorTitle="Mensagem de Erro" error="F não pode ser Superior a MF" sqref="L23">
      <formula1>K23</formula1>
    </dataValidation>
    <dataValidation type="whole" operator="lessThanOrEqual" allowBlank="1" showErrorMessage="1" errorTitle="Mensagem de Erro" error="F não pode ser Superior a MF" sqref="L24">
      <formula1>K24</formula1>
    </dataValidation>
    <dataValidation type="whole" operator="lessThanOrEqual" allowBlank="1" showErrorMessage="1" errorTitle="Mensagem de Erro" error="F não pode ser Superior a MF" sqref="L25">
      <formula1>K25</formula1>
    </dataValidation>
    <dataValidation type="whole" operator="lessThanOrEqual" allowBlank="1" showErrorMessage="1" errorTitle="Mensagem de Erro" error="F não pode ser Superior a MF" sqref="L26">
      <formula1>K26</formula1>
    </dataValidation>
    <dataValidation type="whole" operator="lessThanOrEqual" allowBlank="1" showErrorMessage="1" errorTitle="Mensagem de Erro" error="F não pode ser Superior a MF" sqref="L27">
      <formula1>K27</formula1>
    </dataValidation>
    <dataValidation type="whole" operator="lessThanOrEqual" allowBlank="1" showErrorMessage="1" errorTitle="Mensagem de Erro" error="F não pode ser Superior a MF" sqref="L29">
      <formula1>K29</formula1>
    </dataValidation>
    <dataValidation type="whole" operator="lessThanOrEqual" allowBlank="1" showErrorMessage="1" errorTitle="Mensagem de Erro" error="F não pode ser Superior a MF" sqref="L30">
      <formula1>K30</formula1>
    </dataValidation>
    <dataValidation type="whole" operator="lessThanOrEqual" allowBlank="1" showErrorMessage="1" errorTitle="Mensagem de Erro" error="F não pode ser Superior a MF" sqref="L31">
      <formula1>K31</formula1>
    </dataValidation>
    <dataValidation type="whole" operator="lessThanOrEqual" allowBlank="1" showErrorMessage="1" errorTitle="Mensagem de Erro" error="F não pode ser Superior a MF" sqref="L32">
      <formula1>K32</formula1>
    </dataValidation>
    <dataValidation type="whole" operator="lessThanOrEqual" allowBlank="1" showErrorMessage="1" errorTitle="Mensagem de Erro" error="F não pode ser Superior a MF" sqref="L33">
      <formula1>K33</formula1>
    </dataValidation>
    <dataValidation type="whole" operator="lessThanOrEqual" allowBlank="1" showErrorMessage="1" errorTitle="Mensagem de Erro" error="F não pode ser Superior a MF" sqref="L34">
      <formula1>K34</formula1>
    </dataValidation>
    <dataValidation type="whole" operator="lessThanOrEqual" allowBlank="1" showErrorMessage="1" errorTitle="Mensagem de Erro" error="F não pode ser Superior a MF" sqref="L41">
      <formula1>K41</formula1>
    </dataValidation>
    <dataValidation type="whole" operator="lessThanOrEqual" allowBlank="1" showErrorMessage="1" errorTitle="Mensagem de Erro" error="F não pode ser Superior a MF" sqref="L42">
      <formula1>K42</formula1>
    </dataValidation>
    <dataValidation type="whole" operator="lessThanOrEqual" allowBlank="1" showErrorMessage="1" errorTitle="Mensagem de Erro" error="F não pode ser Superior a MF" sqref="L43">
      <formula1>K43</formula1>
    </dataValidation>
    <dataValidation type="whole" operator="lessThanOrEqual" allowBlank="1" showErrorMessage="1" errorTitle="Mensagem de Erro" error="F não pode ser Superior a MF" sqref="L44">
      <formula1>K44</formula1>
    </dataValidation>
    <dataValidation type="whole" operator="lessThanOrEqual" allowBlank="1" showErrorMessage="1" errorTitle="Mensagem de Erro" error="F não pode ser Superior a MF" sqref="L45">
      <formula1>K45</formula1>
    </dataValidation>
    <dataValidation type="whole" operator="lessThanOrEqual" allowBlank="1" showErrorMessage="1" errorTitle="Mensagem de Erro" error="F não pode ser Superior a MF" sqref="L46">
      <formula1>K46</formula1>
    </dataValidation>
    <dataValidation type="whole" operator="lessThanOrEqual" allowBlank="1" showErrorMessage="1" errorTitle="Mensagem de Erro" error="F não pode ser Superior a MF" sqref="L47">
      <formula1>K47</formula1>
    </dataValidation>
    <dataValidation type="whole" operator="lessThanOrEqual" allowBlank="1" showErrorMessage="1" errorTitle="Mensagem de Erro" error="F não pode ser Superior a MF" sqref="L48">
      <formula1>K48</formula1>
    </dataValidation>
    <dataValidation type="whole" operator="lessThanOrEqual" allowBlank="1" showErrorMessage="1" errorTitle="Mensagem de Erro" error="F não pode ser Superior a MF" sqref="L49">
      <formula1>K49</formula1>
    </dataValidation>
    <dataValidation type="whole" operator="lessThanOrEqual" allowBlank="1" showErrorMessage="1" errorTitle="Mensagem de Erro" error="F não pode ser Superior a MF" sqref="L55">
      <formula1>K55</formula1>
    </dataValidation>
    <dataValidation type="whole" operator="lessThanOrEqual" allowBlank="1" showErrorMessage="1" errorTitle="Mensagem de Erro" error="F não pode ser Superior a MF" sqref="L56">
      <formula1>K56</formula1>
    </dataValidation>
    <dataValidation type="whole" operator="lessThanOrEqual" allowBlank="1" showErrorMessage="1" errorTitle="Mensagem de Erro" error="F não pode ser Superior a MF" sqref="L57">
      <formula1>K57</formula1>
    </dataValidation>
    <dataValidation type="whole" operator="lessThanOrEqual" allowBlank="1" showErrorMessage="1" errorTitle="Mensagem de Erro" error="F não pode ser Superior a MF" sqref="L58">
      <formula1>K58</formula1>
    </dataValidation>
    <dataValidation type="whole" operator="lessThanOrEqual" allowBlank="1" showErrorMessage="1" errorTitle="Mensagem de Erro" error="F não pode ser Superior a MF" sqref="L59">
      <formula1>K59</formula1>
    </dataValidation>
    <dataValidation type="whole" operator="lessThanOrEqual" allowBlank="1" showErrorMessage="1" errorTitle="Mensagem de Erro" error="F não pode ser Superior a MF" sqref="L60">
      <formula1>K60</formula1>
    </dataValidation>
    <dataValidation type="whole" operator="lessThanOrEqual" allowBlank="1" showErrorMessage="1" errorTitle="Mensagem de Erro" error="F não pode ser Superior a MF" sqref="L62">
      <formula1>K62</formula1>
    </dataValidation>
    <dataValidation type="whole" operator="lessThanOrEqual" allowBlank="1" showErrorMessage="1" errorTitle="Mensagem de Erro" error="F não pode ser Superior a MF" sqref="L63">
      <formula1>K63</formula1>
    </dataValidation>
    <dataValidation type="whole" operator="lessThanOrEqual" allowBlank="1" showErrorMessage="1" errorTitle="Mensagem de Erro" error="F não pode ser Superior a MF" sqref="L64">
      <formula1>K64</formula1>
    </dataValidation>
    <dataValidation type="whole" operator="lessThanOrEqual" allowBlank="1" showErrorMessage="1" errorTitle="Mensagem de Erro" error="F não pode ser Superior a MF" sqref="L65">
      <formula1>K65</formula1>
    </dataValidation>
    <dataValidation type="whole" operator="lessThanOrEqual" allowBlank="1" showErrorMessage="1" errorTitle="Mensagem de Erro" error="F não pode ser Superior a MF" sqref="L66">
      <formula1>K66</formula1>
    </dataValidation>
    <dataValidation type="whole" operator="lessThanOrEqual" allowBlank="1" showErrorMessage="1" errorTitle="Mensagem de Erro" error="F não pode ser Superior a MF" sqref="L67">
      <formula1>K67</formula1>
    </dataValidation>
    <dataValidation type="whole" operator="lessThanOrEqual" allowBlank="1" showErrorMessage="1" errorTitle="Mensagem de Erro" error="F não pode ser Superior a MF" sqref="L69">
      <formula1>K69</formula1>
    </dataValidation>
    <dataValidation type="whole" operator="lessThanOrEqual" allowBlank="1" showErrorMessage="1" errorTitle="Mensagem de Erro" error="F não pode ser Superior a MF" sqref="L70">
      <formula1>K70</formula1>
    </dataValidation>
    <dataValidation type="whole" operator="lessThanOrEqual" allowBlank="1" showErrorMessage="1" errorTitle="Mensagem de Erro" error="F não pode ser Superior a MF" sqref="L71">
      <formula1>K71</formula1>
    </dataValidation>
    <dataValidation type="whole" operator="lessThanOrEqual" allowBlank="1" showErrorMessage="1" errorTitle="Mensagem de Erro" error="F não pode ser Superior a MF" sqref="L72">
      <formula1>K72</formula1>
    </dataValidation>
    <dataValidation type="whole" operator="lessThanOrEqual" allowBlank="1" showErrorMessage="1" errorTitle="Mensagem de Erro" error="F não pode ser Superior a MF" sqref="L73">
      <formula1>K73</formula1>
    </dataValidation>
    <dataValidation type="whole" operator="lessThanOrEqual" allowBlank="1" showErrorMessage="1" errorTitle="Mensagem de Erro" error="F não pode ser Superior a MF" sqref="L74">
      <formula1>K74</formula1>
    </dataValidation>
    <dataValidation type="whole" operator="lessThanOrEqual" allowBlank="1" showErrorMessage="1" errorTitle="Mensagem de Erro" error="F não pode ser Superior a MF" sqref="L81">
      <formula1>K81</formula1>
    </dataValidation>
    <dataValidation type="whole" operator="lessThanOrEqual" allowBlank="1" showErrorMessage="1" errorTitle="Mensagem de Erro" error="F não pode ser Superior a MF" sqref="L82">
      <formula1>K82</formula1>
    </dataValidation>
    <dataValidation type="whole" operator="lessThanOrEqual" allowBlank="1" showErrorMessage="1" errorTitle="Mensagem de Erro" error="F não pode ser Superior a MF" sqref="L83">
      <formula1>K83</formula1>
    </dataValidation>
    <dataValidation type="whole" operator="lessThanOrEqual" allowBlank="1" showErrorMessage="1" errorTitle="Mensagem de Erro" error="F não pode ser Superior a MF" sqref="L84">
      <formula1>K84</formula1>
    </dataValidation>
    <dataValidation type="whole" operator="lessThanOrEqual" allowBlank="1" showErrorMessage="1" errorTitle="Mensagem de Erro" error="F não pode ser Superior a MF" sqref="L85">
      <formula1>K85</formula1>
    </dataValidation>
    <dataValidation type="whole" operator="lessThanOrEqual" allowBlank="1" showErrorMessage="1" errorTitle="Mensagem de Erro" error="F não pode ser Superior a MF" sqref="L86">
      <formula1>K86</formula1>
    </dataValidation>
    <dataValidation type="whole" operator="lessThanOrEqual" allowBlank="1" showErrorMessage="1" errorTitle="Mensagem de Erro" error="F não pode ser Superior a MF" sqref="L87">
      <formula1>K87</formula1>
    </dataValidation>
    <dataValidation type="whole" operator="lessThanOrEqual" allowBlank="1" showErrorMessage="1" errorTitle="Mensagem de Erro" error="F não pode ser Superior a MF" sqref="L88">
      <formula1>K88</formula1>
    </dataValidation>
    <dataValidation type="whole" operator="lessThanOrEqual" allowBlank="1" showErrorMessage="1" errorTitle="Mensagem de Erro" error="F não pode ser Superior a MF" sqref="L89">
      <formula1>K89</formula1>
    </dataValidation>
    <dataValidation type="whole" operator="lessThanOrEqual" allowBlank="1" showErrorMessage="1" errorTitle="Mensagem de Erro" error="F não pode ser Superior a MF" sqref="L90">
      <formula1>K90</formula1>
    </dataValidation>
    <dataValidation type="whole" operator="lessThanOrEqual" allowBlank="1" showErrorMessage="1" errorTitle="Mensagem de Erro" error="F não pode ser Superior a MF" sqref="L91">
      <formula1>K91</formula1>
    </dataValidation>
    <dataValidation type="whole" operator="lessThanOrEqual" allowBlank="1" showErrorMessage="1" errorTitle="Mensagem de Erro" error="F não pode ser Superior a MF" sqref="L93">
      <formula1>K93</formula1>
    </dataValidation>
    <dataValidation type="whole" operator="lessThanOrEqual" allowBlank="1" showErrorMessage="1" errorTitle="Mensagem de Erro" error="F não pode ser Superior a MF" sqref="L94">
      <formula1>K94</formula1>
    </dataValidation>
    <dataValidation type="whole" operator="lessThanOrEqual" allowBlank="1" showErrorMessage="1" errorTitle="Mensagem de Erro" error="F não pode ser Superior a MF" sqref="L95">
      <formula1>K95</formula1>
    </dataValidation>
    <dataValidation type="whole" operator="lessThanOrEqual" allowBlank="1" showErrorMessage="1" errorTitle="Mensagem de Erro" error="F não pode ser Superior a MF" sqref="L96">
      <formula1>K96</formula1>
    </dataValidation>
    <dataValidation type="whole" operator="lessThanOrEqual" allowBlank="1" showErrorMessage="1" errorTitle="Mensagem de Erro" error="F não pode ser Superior a MF" sqref="L97">
      <formula1>K97</formula1>
    </dataValidation>
    <dataValidation type="whole" operator="lessThanOrEqual" allowBlank="1" showErrorMessage="1" errorTitle="Mensagem de Erro" error="F não pode ser Superior a MF" sqref="L98">
      <formula1>K98</formula1>
    </dataValidation>
    <dataValidation type="whole" operator="lessThanOrEqual" allowBlank="1" showErrorMessage="1" errorTitle="Mensagem de Erro" error="F não pode ser Superior a MF" sqref="L99">
      <formula1>K99</formula1>
    </dataValidation>
    <dataValidation type="whole" operator="lessThanOrEqual" allowBlank="1" showErrorMessage="1" errorTitle="Mensagem de Erro" error="F não pode ser Superior a MF" sqref="N100">
      <formula1>M100</formula1>
    </dataValidation>
    <dataValidation type="whole" operator="lessThanOrEqual" allowBlank="1" showErrorMessage="1" errorTitle="Mensagem de Erro" error="F não pode ser Superior a MF" sqref="N101">
      <formula1>M101</formula1>
    </dataValidation>
    <dataValidation type="whole" operator="lessThanOrEqual" allowBlank="1" showErrorMessage="1" errorTitle="Mensagem de Erro" error="F não pode ser Superior a MF" sqref="N102">
      <formula1>M102</formula1>
    </dataValidation>
    <dataValidation type="whole" operator="lessThanOrEqual" allowBlank="1" showErrorMessage="1" errorTitle="Mensagem de Erro" error="F não pode ser Superior a MF" sqref="N103">
      <formula1>M103</formula1>
    </dataValidation>
    <dataValidation type="whole" operator="lessThanOrEqual" allowBlank="1" showErrorMessage="1" errorTitle="Mensagem de Erro" error="F não pode ser Superior a MF" sqref="N105">
      <formula1>M105</formula1>
    </dataValidation>
    <dataValidation type="whole" operator="lessThanOrEqual" allowBlank="1" showErrorMessage="1" errorTitle="Mensagem de Erro" error="F não pode ser Superior a MF" sqref="N106">
      <formula1>M106</formula1>
    </dataValidation>
    <dataValidation type="whole" operator="lessThanOrEqual" allowBlank="1" showErrorMessage="1" errorTitle="Mensagem de Erro" error="F não pode ser Superior a MF" sqref="N107">
      <formula1>M107</formula1>
    </dataValidation>
    <dataValidation type="whole" operator="lessThanOrEqual" allowBlank="1" showErrorMessage="1" errorTitle="Mensagem de Erro" error="F não pode ser Superior a MF" sqref="N108">
      <formula1>M108</formula1>
    </dataValidation>
    <dataValidation type="whole" operator="lessThanOrEqual" allowBlank="1" showErrorMessage="1" errorTitle="Mensagem de Erro" error="F não pode ser Superior a MF" sqref="N109">
      <formula1>M109</formula1>
    </dataValidation>
    <dataValidation type="whole" operator="lessThanOrEqual" allowBlank="1" showErrorMessage="1" errorTitle="Mensagem de Erro" error="F não pode ser Superior a MF" sqref="N110">
      <formula1>M110</formula1>
    </dataValidation>
    <dataValidation type="whole" operator="lessThanOrEqual" allowBlank="1" showErrorMessage="1" errorTitle="Mensagem de Erro" error="F não pode ser Superior a MF" sqref="N111">
      <formula1>M111</formula1>
    </dataValidation>
    <dataValidation type="whole" operator="lessThanOrEqual" allowBlank="1" showErrorMessage="1" errorTitle="Mensagem de Erro" error="F não pode ser Superior a MF" sqref="N112">
      <formula1>M112</formula1>
    </dataValidation>
    <dataValidation type="whole" operator="lessThanOrEqual" allowBlank="1" showErrorMessage="1" errorTitle="Mensagem de Erro" error="F não pode ser Superior a MF" sqref="N113">
      <formula1>M113</formula1>
    </dataValidation>
    <dataValidation type="whole" operator="lessThanOrEqual" allowBlank="1" showErrorMessage="1" errorTitle="Mensagem de Erro" error="F não pode ser Superior a MF" sqref="N114">
      <formula1>M114</formula1>
    </dataValidation>
    <dataValidation type="whole" operator="lessThanOrEqual" allowBlank="1" showErrorMessage="1" errorTitle="Mensagem de Erro" error="F não pode ser Superior a MF" sqref="N115">
      <formula1>M115</formula1>
    </dataValidation>
    <dataValidation type="whole" operator="lessThanOrEqual" allowBlank="1" showErrorMessage="1" errorTitle="Mensagem de Erro" error="F não pode ser Superior a MF" sqref="N15">
      <formula1>M15</formula1>
    </dataValidation>
    <dataValidation type="whole" operator="lessThanOrEqual" allowBlank="1" showErrorMessage="1" errorTitle="Mensagem de Erro" error="F não pode ser Superior a MF" sqref="N16">
      <formula1>M16</formula1>
    </dataValidation>
    <dataValidation type="whole" operator="lessThanOrEqual" allowBlank="1" showErrorMessage="1" errorTitle="Mensagem de Erro" error="F não pode ser Superior a MF" sqref="N17">
      <formula1>M17</formula1>
    </dataValidation>
    <dataValidation type="whole" operator="lessThanOrEqual" allowBlank="1" showErrorMessage="1" errorTitle="Mensagem de Erro" error="F não pode ser Superior a MF" sqref="N18">
      <formula1>M18</formula1>
    </dataValidation>
    <dataValidation type="whole" operator="lessThanOrEqual" allowBlank="1" showErrorMessage="1" errorTitle="Mensagem de Erro" error="F não pode ser Superior a MF" sqref="N19">
      <formula1>M19</formula1>
    </dataValidation>
    <dataValidation type="whole" operator="lessThanOrEqual" allowBlank="1" showErrorMessage="1" errorTitle="Mensagem de Erro" error="F não pode ser Superior a MF" sqref="N20">
      <formula1>M20</formula1>
    </dataValidation>
    <dataValidation type="whole" operator="lessThanOrEqual" allowBlank="1" showErrorMessage="1" errorTitle="Mensagem de Erro" error="F não pode ser Superior a MF" sqref="N22">
      <formula1>M22</formula1>
    </dataValidation>
    <dataValidation type="whole" operator="lessThanOrEqual" allowBlank="1" showErrorMessage="1" errorTitle="Mensagem de Erro" error="F não pode ser Superior a MF" sqref="N23">
      <formula1>M23</formula1>
    </dataValidation>
    <dataValidation type="whole" operator="lessThanOrEqual" allowBlank="1" showErrorMessage="1" errorTitle="Mensagem de Erro" error="F não pode ser Superior a MF" sqref="N24">
      <formula1>M24</formula1>
    </dataValidation>
    <dataValidation type="whole" operator="lessThanOrEqual" allowBlank="1" showErrorMessage="1" errorTitle="Mensagem de Erro" error="F não pode ser Superior a MF" sqref="N25">
      <formula1>M25</formula1>
    </dataValidation>
    <dataValidation type="whole" operator="lessThanOrEqual" allowBlank="1" showErrorMessage="1" errorTitle="Mensagem de Erro" error="F não pode ser Superior a MF" sqref="N26">
      <formula1>M26</formula1>
    </dataValidation>
    <dataValidation type="whole" operator="lessThanOrEqual" allowBlank="1" showErrorMessage="1" errorTitle="Mensagem de Erro" error="F não pode ser Superior a MF" sqref="N27">
      <formula1>M27</formula1>
    </dataValidation>
    <dataValidation type="whole" operator="lessThanOrEqual" allowBlank="1" showErrorMessage="1" errorTitle="Mensagem de Erro" error="F não pode ser Superior a MF" sqref="N29">
      <formula1>M29</formula1>
    </dataValidation>
    <dataValidation type="whole" operator="lessThanOrEqual" allowBlank="1" showErrorMessage="1" errorTitle="Mensagem de Erro" error="F não pode ser Superior a MF" sqref="N30">
      <formula1>M30</formula1>
    </dataValidation>
    <dataValidation type="whole" operator="lessThanOrEqual" allowBlank="1" showErrorMessage="1" errorTitle="Mensagem de Erro" error="F não pode ser Superior a MF" sqref="N31">
      <formula1>M31</formula1>
    </dataValidation>
    <dataValidation type="whole" operator="lessThanOrEqual" allowBlank="1" showErrorMessage="1" errorTitle="Mensagem de Erro" error="F não pode ser Superior a MF" sqref="N32">
      <formula1>M32</formula1>
    </dataValidation>
    <dataValidation type="whole" operator="lessThanOrEqual" allowBlank="1" showErrorMessage="1" errorTitle="Mensagem de Erro" error="F não pode ser Superior a MF" sqref="N33">
      <formula1>M33</formula1>
    </dataValidation>
    <dataValidation type="whole" operator="lessThanOrEqual" allowBlank="1" showErrorMessage="1" errorTitle="Mensagem de Erro" error="F não pode ser Superior a MF" sqref="N34">
      <formula1>M34</formula1>
    </dataValidation>
    <dataValidation type="whole" operator="lessThanOrEqual" allowBlank="1" showErrorMessage="1" errorTitle="Mensagem de Erro" error="F não pode ser Superior a MF" sqref="N41">
      <formula1>M41</formula1>
    </dataValidation>
    <dataValidation type="whole" operator="lessThanOrEqual" allowBlank="1" showErrorMessage="1" errorTitle="Mensagem de Erro" error="F não pode ser Superior a MF" sqref="N42">
      <formula1>M42</formula1>
    </dataValidation>
    <dataValidation type="whole" operator="lessThanOrEqual" allowBlank="1" showErrorMessage="1" errorTitle="Mensagem de Erro" error="F não pode ser Superior a MF" sqref="N43">
      <formula1>M43</formula1>
    </dataValidation>
    <dataValidation type="whole" operator="lessThanOrEqual" allowBlank="1" showErrorMessage="1" errorTitle="Mensagem de Erro" error="F não pode ser Superior a MF" sqref="N44">
      <formula1>M44</formula1>
    </dataValidation>
    <dataValidation type="whole" operator="lessThanOrEqual" allowBlank="1" showErrorMessage="1" errorTitle="Mensagem de Erro" error="F não pode ser Superior a MF" sqref="N45">
      <formula1>M45</formula1>
    </dataValidation>
    <dataValidation type="whole" operator="lessThanOrEqual" allowBlank="1" showErrorMessage="1" errorTitle="Mensagem de Erro" error="F não pode ser Superior a MF" sqref="N46">
      <formula1>M46</formula1>
    </dataValidation>
    <dataValidation type="whole" operator="lessThanOrEqual" allowBlank="1" showErrorMessage="1" errorTitle="Mensagem de Erro" error="F não pode ser Superior a MF" sqref="N47">
      <formula1>M47</formula1>
    </dataValidation>
    <dataValidation type="whole" operator="lessThanOrEqual" allowBlank="1" showErrorMessage="1" errorTitle="Mensagem de Erro" error="F não pode ser Superior a MF" sqref="N48">
      <formula1>M48</formula1>
    </dataValidation>
    <dataValidation type="whole" operator="lessThanOrEqual" allowBlank="1" showErrorMessage="1" errorTitle="Mensagem de Erro" error="F não pode ser Superior a MF" sqref="N49">
      <formula1>M49</formula1>
    </dataValidation>
    <dataValidation type="whole" operator="lessThanOrEqual" allowBlank="1" showErrorMessage="1" errorTitle="Mensagem de Erro" error="F não pode ser Superior a MF" sqref="N55">
      <formula1>M55</formula1>
    </dataValidation>
    <dataValidation type="whole" operator="lessThanOrEqual" allowBlank="1" showErrorMessage="1" errorTitle="Mensagem de Erro" error="F não pode ser Superior a MF" sqref="N56">
      <formula1>M56</formula1>
    </dataValidation>
    <dataValidation type="whole" operator="lessThanOrEqual" allowBlank="1" showErrorMessage="1" errorTitle="Mensagem de Erro" error="F não pode ser Superior a MF" sqref="N57">
      <formula1>M57</formula1>
    </dataValidation>
    <dataValidation type="whole" operator="lessThanOrEqual" allowBlank="1" showErrorMessage="1" errorTitle="Mensagem de Erro" error="F não pode ser Superior a MF" sqref="N58">
      <formula1>M58</formula1>
    </dataValidation>
    <dataValidation type="whole" operator="lessThanOrEqual" allowBlank="1" showErrorMessage="1" errorTitle="Mensagem de Erro" error="F não pode ser Superior a MF" sqref="N59">
      <formula1>M59</formula1>
    </dataValidation>
    <dataValidation type="whole" operator="lessThanOrEqual" allowBlank="1" showErrorMessage="1" errorTitle="Mensagem de Erro" error="F não pode ser Superior a MF" sqref="N60">
      <formula1>M60</formula1>
    </dataValidation>
    <dataValidation type="whole" operator="lessThanOrEqual" allowBlank="1" showErrorMessage="1" errorTitle="Mensagem de Erro" error="F não pode ser Superior a MF" sqref="N62">
      <formula1>M62</formula1>
    </dataValidation>
    <dataValidation type="whole" operator="lessThanOrEqual" allowBlank="1" showErrorMessage="1" errorTitle="Mensagem de Erro" error="F não pode ser Superior a MF" sqref="N63">
      <formula1>M63</formula1>
    </dataValidation>
    <dataValidation type="whole" operator="lessThanOrEqual" allowBlank="1" showErrorMessage="1" errorTitle="Mensagem de Erro" error="F não pode ser Superior a MF" sqref="N64">
      <formula1>M64</formula1>
    </dataValidation>
    <dataValidation type="whole" operator="lessThanOrEqual" allowBlank="1" showErrorMessage="1" errorTitle="Mensagem de Erro" error="F não pode ser Superior a MF" sqref="N65">
      <formula1>M65</formula1>
    </dataValidation>
    <dataValidation type="whole" operator="lessThanOrEqual" allowBlank="1" showErrorMessage="1" errorTitle="Mensagem de Erro" error="F não pode ser Superior a MF" sqref="N66">
      <formula1>M66</formula1>
    </dataValidation>
    <dataValidation type="whole" operator="lessThanOrEqual" allowBlank="1" showErrorMessage="1" errorTitle="Mensagem de Erro" error="F não pode ser Superior a MF" sqref="N67">
      <formula1>M67</formula1>
    </dataValidation>
    <dataValidation type="whole" operator="lessThanOrEqual" allowBlank="1" showErrorMessage="1" errorTitle="Mensagem de Erro" error="F não pode ser Superior a MF" sqref="N69">
      <formula1>M69</formula1>
    </dataValidation>
    <dataValidation type="whole" operator="lessThanOrEqual" allowBlank="1" showErrorMessage="1" errorTitle="Mensagem de Erro" error="F não pode ser Superior a MF" sqref="N70">
      <formula1>M70</formula1>
    </dataValidation>
    <dataValidation type="whole" operator="lessThanOrEqual" allowBlank="1" showErrorMessage="1" errorTitle="Mensagem de Erro" error="F não pode ser Superior a MF" sqref="N71">
      <formula1>M71</formula1>
    </dataValidation>
    <dataValidation type="whole" operator="lessThanOrEqual" allowBlank="1" showErrorMessage="1" errorTitle="Mensagem de Erro" error="F não pode ser Superior a MF" sqref="N72">
      <formula1>M72</formula1>
    </dataValidation>
    <dataValidation type="whole" operator="lessThanOrEqual" allowBlank="1" showErrorMessage="1" errorTitle="Mensagem de Erro" error="F não pode ser Superior a MF" sqref="N73">
      <formula1>M73</formula1>
    </dataValidation>
    <dataValidation type="whole" operator="lessThanOrEqual" allowBlank="1" showErrorMessage="1" errorTitle="Mensagem de Erro" error="F não pode ser Superior a MF" sqref="N74">
      <formula1>M74</formula1>
    </dataValidation>
    <dataValidation type="whole" operator="lessThanOrEqual" allowBlank="1" showErrorMessage="1" errorTitle="Mensagem de Erro" error="F não pode ser Superior a MF" sqref="N81">
      <formula1>M81</formula1>
    </dataValidation>
    <dataValidation type="whole" operator="lessThanOrEqual" allowBlank="1" showErrorMessage="1" errorTitle="Mensagem de Erro" error="F não pode ser Superior a MF" sqref="N82">
      <formula1>M82</formula1>
    </dataValidation>
    <dataValidation type="whole" operator="lessThanOrEqual" allowBlank="1" showErrorMessage="1" errorTitle="Mensagem de Erro" error="F não pode ser Superior a MF" sqref="N83">
      <formula1>M83</formula1>
    </dataValidation>
    <dataValidation type="whole" operator="lessThanOrEqual" allowBlank="1" showErrorMessage="1" errorTitle="Mensagem de Erro" error="F não pode ser Superior a MF" sqref="N84">
      <formula1>M84</formula1>
    </dataValidation>
    <dataValidation type="whole" operator="lessThanOrEqual" allowBlank="1" showErrorMessage="1" errorTitle="Mensagem de Erro" error="F não pode ser Superior a MF" sqref="N85">
      <formula1>M85</formula1>
    </dataValidation>
    <dataValidation type="whole" operator="lessThanOrEqual" allowBlank="1" showErrorMessage="1" errorTitle="Mensagem de Erro" error="F não pode ser Superior a MF" sqref="N86">
      <formula1>M86</formula1>
    </dataValidation>
    <dataValidation type="whole" operator="lessThanOrEqual" allowBlank="1" showErrorMessage="1" errorTitle="Mensagem de Erro" error="F não pode ser Superior a MF" sqref="N87">
      <formula1>M87</formula1>
    </dataValidation>
    <dataValidation type="whole" operator="lessThanOrEqual" allowBlank="1" showErrorMessage="1" errorTitle="Mensagem de Erro" error="F não pode ser Superior a MF" sqref="N88">
      <formula1>M88</formula1>
    </dataValidation>
    <dataValidation type="whole" operator="lessThanOrEqual" allowBlank="1" showErrorMessage="1" errorTitle="Mensagem de Erro" error="F não pode ser Superior a MF" sqref="N89">
      <formula1>M89</formula1>
    </dataValidation>
    <dataValidation type="whole" operator="lessThanOrEqual" allowBlank="1" showErrorMessage="1" errorTitle="Mensagem de Erro" error="F não pode ser Superior a MF" sqref="N90">
      <formula1>M90</formula1>
    </dataValidation>
    <dataValidation type="whole" operator="lessThanOrEqual" allowBlank="1" showErrorMessage="1" errorTitle="Mensagem de Erro" error="F não pode ser Superior a MF" sqref="N91">
      <formula1>M91</formula1>
    </dataValidation>
    <dataValidation type="whole" operator="lessThanOrEqual" allowBlank="1" showErrorMessage="1" errorTitle="Mensagem de Erro" error="F não pode ser Superior a MF" sqref="N93">
      <formula1>M93</formula1>
    </dataValidation>
    <dataValidation type="whole" operator="lessThanOrEqual" allowBlank="1" showErrorMessage="1" errorTitle="Mensagem de Erro" error="F não pode ser Superior a MF" sqref="N94">
      <formula1>M94</formula1>
    </dataValidation>
    <dataValidation type="whole" operator="lessThanOrEqual" allowBlank="1" showErrorMessage="1" errorTitle="Mensagem de Erro" error="F não pode ser Superior a MF" sqref="N95">
      <formula1>M95</formula1>
    </dataValidation>
    <dataValidation type="whole" operator="lessThanOrEqual" allowBlank="1" showErrorMessage="1" errorTitle="Mensagem de Erro" error="F não pode ser Superior a MF" sqref="N96">
      <formula1>M96</formula1>
    </dataValidation>
    <dataValidation type="whole" operator="lessThanOrEqual" allowBlank="1" showErrorMessage="1" errorTitle="Mensagem de Erro" error="F não pode ser Superior a MF" sqref="N97">
      <formula1>M97</formula1>
    </dataValidation>
    <dataValidation type="whole" operator="lessThanOrEqual" allowBlank="1" showErrorMessage="1" errorTitle="Mensagem de Erro" error="F não pode ser Superior a MF" sqref="N98">
      <formula1>M98</formula1>
    </dataValidation>
    <dataValidation type="whole" operator="lessThanOrEqual" allowBlank="1" showErrorMessage="1" errorTitle="Mensagem de Erro" error="F não pode ser Superior a MF" sqref="N99">
      <formula1>M99</formula1>
    </dataValidation>
    <dataValidation type="whole" operator="lessThanOrEqual" allowBlank="1" showErrorMessage="1" errorTitle="Mensagem de Erro" error="F não pode ser Superior a MF" sqref="P100">
      <formula1>O100</formula1>
    </dataValidation>
    <dataValidation type="whole" operator="lessThanOrEqual" allowBlank="1" showErrorMessage="1" errorTitle="Mensagem de Erro" error="F não pode ser Superior a MF" sqref="P101">
      <formula1>O101</formula1>
    </dataValidation>
    <dataValidation type="whole" operator="lessThanOrEqual" allowBlank="1" showErrorMessage="1" errorTitle="Mensagem de Erro" error="F não pode ser Superior a MF" sqref="P102">
      <formula1>O102</formula1>
    </dataValidation>
    <dataValidation type="whole" operator="lessThanOrEqual" allowBlank="1" showErrorMessage="1" errorTitle="Mensagem de Erro" error="F não pode ser Superior a MF" sqref="P103">
      <formula1>O103</formula1>
    </dataValidation>
    <dataValidation type="whole" operator="lessThanOrEqual" allowBlank="1" showErrorMessage="1" errorTitle="Mensagem de Erro" error="F não pode ser Superior a MF" sqref="P105">
      <formula1>O105</formula1>
    </dataValidation>
    <dataValidation type="whole" operator="lessThanOrEqual" allowBlank="1" showErrorMessage="1" errorTitle="Mensagem de Erro" error="F não pode ser Superior a MF" sqref="P106">
      <formula1>O106</formula1>
    </dataValidation>
    <dataValidation type="whole" operator="lessThanOrEqual" allowBlank="1" showErrorMessage="1" errorTitle="Mensagem de Erro" error="F não pode ser Superior a MF" sqref="P107">
      <formula1>O107</formula1>
    </dataValidation>
    <dataValidation type="whole" operator="lessThanOrEqual" allowBlank="1" showErrorMessage="1" errorTitle="Mensagem de Erro" error="F não pode ser Superior a MF" sqref="P108">
      <formula1>O108</formula1>
    </dataValidation>
    <dataValidation type="whole" operator="lessThanOrEqual" allowBlank="1" showErrorMessage="1" errorTitle="Mensagem de Erro" error="F não pode ser Superior a MF" sqref="P109">
      <formula1>O109</formula1>
    </dataValidation>
    <dataValidation type="whole" operator="lessThanOrEqual" allowBlank="1" showErrorMessage="1" errorTitle="Mensagem de Erro" error="F não pode ser Superior a MF" sqref="P110">
      <formula1>O110</formula1>
    </dataValidation>
    <dataValidation type="whole" operator="lessThanOrEqual" allowBlank="1" showErrorMessage="1" errorTitle="Mensagem de Erro" error="F não pode ser Superior a MF" sqref="P111">
      <formula1>O111</formula1>
    </dataValidation>
    <dataValidation type="whole" operator="lessThanOrEqual" allowBlank="1" showErrorMessage="1" errorTitle="Mensagem de Erro" error="F não pode ser Superior a MF" sqref="P112">
      <formula1>O112</formula1>
    </dataValidation>
    <dataValidation type="whole" operator="lessThanOrEqual" allowBlank="1" showErrorMessage="1" errorTitle="Mensagem de Erro" error="F não pode ser Superior a MF" sqref="P113">
      <formula1>O113</formula1>
    </dataValidation>
    <dataValidation type="whole" operator="lessThanOrEqual" allowBlank="1" showErrorMessage="1" errorTitle="Mensagem de Erro" error="F não pode ser Superior a MF" sqref="P114">
      <formula1>O114</formula1>
    </dataValidation>
    <dataValidation type="whole" operator="lessThanOrEqual" allowBlank="1" showErrorMessage="1" errorTitle="Mensagem de Erro" error="F não pode ser Superior a MF" sqref="P115">
      <formula1>O115</formula1>
    </dataValidation>
    <dataValidation type="whole" operator="lessThanOrEqual" allowBlank="1" showErrorMessage="1" errorTitle="Mensagem de Erro" error="F não pode ser Superior a MF" sqref="P15">
      <formula1>O15</formula1>
    </dataValidation>
    <dataValidation type="whole" operator="lessThanOrEqual" allowBlank="1" showErrorMessage="1" errorTitle="Mensagem de Erro" error="F não pode ser Superior a MF" sqref="P16">
      <formula1>O16</formula1>
    </dataValidation>
    <dataValidation type="whole" operator="lessThanOrEqual" allowBlank="1" showErrorMessage="1" errorTitle="Mensagem de Erro" error="F não pode ser Superior a MF" sqref="P17">
      <formula1>O17</formula1>
    </dataValidation>
    <dataValidation type="whole" operator="lessThanOrEqual" allowBlank="1" showErrorMessage="1" errorTitle="Mensagem de Erro" error="F não pode ser Superior a MF" sqref="P18">
      <formula1>O18</formula1>
    </dataValidation>
    <dataValidation type="whole" operator="lessThanOrEqual" allowBlank="1" showErrorMessage="1" errorTitle="Mensagem de Erro" error="F não pode ser Superior a MF" sqref="P19">
      <formula1>O19</formula1>
    </dataValidation>
    <dataValidation type="whole" operator="lessThanOrEqual" allowBlank="1" showErrorMessage="1" errorTitle="Mensagem de Erro" error="F não pode ser Superior a MF" sqref="P20">
      <formula1>O20</formula1>
    </dataValidation>
    <dataValidation type="whole" operator="lessThanOrEqual" allowBlank="1" showErrorMessage="1" errorTitle="Mensagem de Erro" error="F não pode ser Superior a MF" sqref="P22">
      <formula1>O22</formula1>
    </dataValidation>
    <dataValidation type="whole" operator="lessThanOrEqual" allowBlank="1" showErrorMessage="1" errorTitle="Mensagem de Erro" error="F não pode ser Superior a MF" sqref="P23">
      <formula1>O23</formula1>
    </dataValidation>
    <dataValidation type="whole" operator="lessThanOrEqual" allowBlank="1" showErrorMessage="1" errorTitle="Mensagem de Erro" error="F não pode ser Superior a MF" sqref="P24">
      <formula1>O24</formula1>
    </dataValidation>
    <dataValidation type="whole" operator="lessThanOrEqual" allowBlank="1" showErrorMessage="1" errorTitle="Mensagem de Erro" error="F não pode ser Superior a MF" sqref="P25">
      <formula1>O25</formula1>
    </dataValidation>
    <dataValidation type="whole" operator="lessThanOrEqual" allowBlank="1" showErrorMessage="1" errorTitle="Mensagem de Erro" error="F não pode ser Superior a MF" sqref="P26">
      <formula1>O26</formula1>
    </dataValidation>
    <dataValidation type="whole" operator="lessThanOrEqual" allowBlank="1" showErrorMessage="1" errorTitle="Mensagem de Erro" error="F não pode ser Superior a MF" sqref="P27">
      <formula1>O27</formula1>
    </dataValidation>
    <dataValidation type="whole" operator="lessThanOrEqual" allowBlank="1" showErrorMessage="1" errorTitle="Mensagem de Erro" error="F não pode ser Superior a MF" sqref="P29">
      <formula1>O29</formula1>
    </dataValidation>
    <dataValidation type="whole" operator="lessThanOrEqual" allowBlank="1" showErrorMessage="1" errorTitle="Mensagem de Erro" error="F não pode ser Superior a MF" sqref="P30">
      <formula1>O30</formula1>
    </dataValidation>
    <dataValidation type="whole" operator="lessThanOrEqual" allowBlank="1" showErrorMessage="1" errorTitle="Mensagem de Erro" error="F não pode ser Superior a MF" sqref="P31">
      <formula1>O31</formula1>
    </dataValidation>
    <dataValidation type="whole" operator="lessThanOrEqual" allowBlank="1" showErrorMessage="1" errorTitle="Mensagem de Erro" error="F não pode ser Superior a MF" sqref="P32">
      <formula1>O32</formula1>
    </dataValidation>
    <dataValidation type="whole" operator="lessThanOrEqual" allowBlank="1" showErrorMessage="1" errorTitle="Mensagem de Erro" error="F não pode ser Superior a MF" sqref="P33">
      <formula1>O33</formula1>
    </dataValidation>
    <dataValidation type="whole" operator="lessThanOrEqual" allowBlank="1" showErrorMessage="1" errorTitle="Mensagem de Erro" error="F não pode ser Superior a MF" sqref="P34">
      <formula1>O34</formula1>
    </dataValidation>
    <dataValidation type="whole" operator="lessThanOrEqual" allowBlank="1" showErrorMessage="1" errorTitle="Mensagem de Erro" error="F não pode ser Superior a MF" sqref="P41">
      <formula1>O41</formula1>
    </dataValidation>
    <dataValidation type="whole" operator="lessThanOrEqual" allowBlank="1" showErrorMessage="1" errorTitle="Mensagem de Erro" error="F não pode ser Superior a MF" sqref="P42">
      <formula1>O42</formula1>
    </dataValidation>
    <dataValidation type="whole" operator="lessThanOrEqual" allowBlank="1" showErrorMessage="1" errorTitle="Mensagem de Erro" error="F não pode ser Superior a MF" sqref="P43">
      <formula1>O43</formula1>
    </dataValidation>
    <dataValidation type="whole" operator="lessThanOrEqual" allowBlank="1" showErrorMessage="1" errorTitle="Mensagem de Erro" error="F não pode ser Superior a MF" sqref="P44">
      <formula1>O44</formula1>
    </dataValidation>
    <dataValidation type="whole" operator="lessThanOrEqual" allowBlank="1" showErrorMessage="1" errorTitle="Mensagem de Erro" error="F não pode ser Superior a MF" sqref="P45">
      <formula1>O45</formula1>
    </dataValidation>
    <dataValidation type="whole" operator="lessThanOrEqual" allowBlank="1" showErrorMessage="1" errorTitle="Mensagem de Erro" error="F não pode ser Superior a MF" sqref="P46">
      <formula1>O46</formula1>
    </dataValidation>
    <dataValidation type="whole" operator="lessThanOrEqual" allowBlank="1" showErrorMessage="1" errorTitle="Mensagem de Erro" error="F não pode ser Superior a MF" sqref="P47">
      <formula1>O47</formula1>
    </dataValidation>
    <dataValidation type="whole" operator="lessThanOrEqual" allowBlank="1" showErrorMessage="1" errorTitle="Mensagem de Erro" error="F não pode ser Superior a MF" sqref="P48">
      <formula1>O48</formula1>
    </dataValidation>
    <dataValidation type="whole" operator="lessThanOrEqual" allowBlank="1" showErrorMessage="1" errorTitle="Mensagem de Erro" error="F não pode ser Superior a MF" sqref="P49">
      <formula1>O49</formula1>
    </dataValidation>
    <dataValidation type="whole" operator="lessThanOrEqual" allowBlank="1" showErrorMessage="1" errorTitle="Mensagem de Erro" error="F não pode ser Superior a MF" sqref="P55">
      <formula1>O55</formula1>
    </dataValidation>
    <dataValidation type="whole" operator="lessThanOrEqual" allowBlank="1" showErrorMessage="1" errorTitle="Mensagem de Erro" error="F não pode ser Superior a MF" sqref="P56">
      <formula1>O56</formula1>
    </dataValidation>
    <dataValidation type="whole" operator="lessThanOrEqual" allowBlank="1" showErrorMessage="1" errorTitle="Mensagem de Erro" error="F não pode ser Superior a MF" sqref="P57">
      <formula1>O57</formula1>
    </dataValidation>
    <dataValidation type="whole" operator="lessThanOrEqual" allowBlank="1" showErrorMessage="1" errorTitle="Mensagem de Erro" error="F não pode ser Superior a MF" sqref="P58">
      <formula1>O58</formula1>
    </dataValidation>
    <dataValidation type="whole" operator="lessThanOrEqual" allowBlank="1" showErrorMessage="1" errorTitle="Mensagem de Erro" error="F não pode ser Superior a MF" sqref="P59">
      <formula1>O59</formula1>
    </dataValidation>
    <dataValidation type="whole" operator="lessThanOrEqual" allowBlank="1" showErrorMessage="1" errorTitle="Mensagem de Erro" error="F não pode ser Superior a MF" sqref="P60">
      <formula1>O60</formula1>
    </dataValidation>
    <dataValidation type="whole" operator="lessThanOrEqual" allowBlank="1" showErrorMessage="1" errorTitle="Mensagem de Erro" error="F não pode ser Superior a MF" sqref="P62">
      <formula1>O62</formula1>
    </dataValidation>
    <dataValidation type="whole" operator="lessThanOrEqual" allowBlank="1" showErrorMessage="1" errorTitle="Mensagem de Erro" error="F não pode ser Superior a MF" sqref="P63">
      <formula1>O63</formula1>
    </dataValidation>
    <dataValidation type="whole" operator="lessThanOrEqual" allowBlank="1" showErrorMessage="1" errorTitle="Mensagem de Erro" error="F não pode ser Superior a MF" sqref="P64">
      <formula1>O64</formula1>
    </dataValidation>
    <dataValidation type="whole" operator="lessThanOrEqual" allowBlank="1" showErrorMessage="1" errorTitle="Mensagem de Erro" error="F não pode ser Superior a MF" sqref="P65">
      <formula1>O65</formula1>
    </dataValidation>
    <dataValidation type="whole" operator="lessThanOrEqual" allowBlank="1" showErrorMessage="1" errorTitle="Mensagem de Erro" error="F não pode ser Superior a MF" sqref="P66">
      <formula1>O66</formula1>
    </dataValidation>
    <dataValidation type="whole" operator="lessThanOrEqual" allowBlank="1" showErrorMessage="1" errorTitle="Mensagem de Erro" error="F não pode ser Superior a MF" sqref="P67">
      <formula1>O67</formula1>
    </dataValidation>
    <dataValidation type="whole" operator="lessThanOrEqual" allowBlank="1" showErrorMessage="1" errorTitle="Mensagem de Erro" error="F não pode ser Superior a MF" sqref="P69">
      <formula1>O69</formula1>
    </dataValidation>
    <dataValidation type="whole" operator="lessThanOrEqual" allowBlank="1" showErrorMessage="1" errorTitle="Mensagem de Erro" error="F não pode ser Superior a MF" sqref="P70">
      <formula1>O70</formula1>
    </dataValidation>
    <dataValidation type="whole" operator="lessThanOrEqual" allowBlank="1" showErrorMessage="1" errorTitle="Mensagem de Erro" error="F não pode ser Superior a MF" sqref="P71">
      <formula1>O71</formula1>
    </dataValidation>
    <dataValidation type="whole" operator="lessThanOrEqual" allowBlank="1" showErrorMessage="1" errorTitle="Mensagem de Erro" error="F não pode ser Superior a MF" sqref="P72">
      <formula1>O72</formula1>
    </dataValidation>
    <dataValidation type="whole" operator="lessThanOrEqual" allowBlank="1" showErrorMessage="1" errorTitle="Mensagem de Erro" error="F não pode ser Superior a MF" sqref="P73">
      <formula1>O73</formula1>
    </dataValidation>
    <dataValidation type="whole" operator="lessThanOrEqual" allowBlank="1" showErrorMessage="1" errorTitle="Mensagem de Erro" error="F não pode ser Superior a MF" sqref="P74">
      <formula1>O74</formula1>
    </dataValidation>
    <dataValidation type="whole" operator="lessThanOrEqual" allowBlank="1" showErrorMessage="1" errorTitle="Mensagem de Erro" error="F não pode ser Superior a MF" sqref="P81">
      <formula1>O81</formula1>
    </dataValidation>
    <dataValidation type="whole" operator="lessThanOrEqual" allowBlank="1" showErrorMessage="1" errorTitle="Mensagem de Erro" error="F não pode ser Superior a MF" sqref="P82">
      <formula1>O82</formula1>
    </dataValidation>
    <dataValidation type="whole" operator="lessThanOrEqual" allowBlank="1" showErrorMessage="1" errorTitle="Mensagem de Erro" error="F não pode ser Superior a MF" sqref="P83">
      <formula1>O83</formula1>
    </dataValidation>
    <dataValidation type="whole" operator="lessThanOrEqual" allowBlank="1" showErrorMessage="1" errorTitle="Mensagem de Erro" error="F não pode ser Superior a MF" sqref="P84">
      <formula1>O84</formula1>
    </dataValidation>
    <dataValidation type="whole" operator="lessThanOrEqual" allowBlank="1" showErrorMessage="1" errorTitle="Mensagem de Erro" error="F não pode ser Superior a MF" sqref="P85">
      <formula1>O85</formula1>
    </dataValidation>
    <dataValidation type="whole" operator="lessThanOrEqual" allowBlank="1" showErrorMessage="1" errorTitle="Mensagem de Erro" error="F não pode ser Superior a MF" sqref="P86">
      <formula1>O86</formula1>
    </dataValidation>
    <dataValidation type="whole" operator="lessThanOrEqual" allowBlank="1" showErrorMessage="1" errorTitle="Mensagem de Erro" error="F não pode ser Superior a MF" sqref="P87">
      <formula1>O87</formula1>
    </dataValidation>
    <dataValidation type="whole" operator="lessThanOrEqual" allowBlank="1" showErrorMessage="1" errorTitle="Mensagem de Erro" error="F não pode ser Superior a MF" sqref="P88">
      <formula1>O88</formula1>
    </dataValidation>
    <dataValidation type="whole" operator="lessThanOrEqual" allowBlank="1" showErrorMessage="1" errorTitle="Mensagem de Erro" error="F não pode ser Superior a MF" sqref="P89">
      <formula1>O89</formula1>
    </dataValidation>
    <dataValidation type="whole" operator="lessThanOrEqual" allowBlank="1" showErrorMessage="1" errorTitle="Mensagem de Erro" error="F não pode ser Superior a MF" sqref="P90">
      <formula1>O90</formula1>
    </dataValidation>
    <dataValidation type="whole" operator="lessThanOrEqual" allowBlank="1" showErrorMessage="1" errorTitle="Mensagem de Erro" error="F não pode ser Superior a MF" sqref="P91">
      <formula1>O91</formula1>
    </dataValidation>
    <dataValidation type="whole" operator="lessThanOrEqual" allowBlank="1" showErrorMessage="1" errorTitle="Mensagem de Erro" error="F não pode ser Superior a MF" sqref="P93">
      <formula1>O93</formula1>
    </dataValidation>
    <dataValidation type="whole" operator="lessThanOrEqual" allowBlank="1" showErrorMessage="1" errorTitle="Mensagem de Erro" error="F não pode ser Superior a MF" sqref="P94">
      <formula1>O94</formula1>
    </dataValidation>
    <dataValidation type="whole" operator="lessThanOrEqual" allowBlank="1" showErrorMessage="1" errorTitle="Mensagem de Erro" error="F não pode ser Superior a MF" sqref="P95">
      <formula1>O95</formula1>
    </dataValidation>
    <dataValidation type="whole" operator="lessThanOrEqual" allowBlank="1" showErrorMessage="1" errorTitle="Mensagem de Erro" error="F não pode ser Superior a MF" sqref="P96">
      <formula1>O96</formula1>
    </dataValidation>
    <dataValidation type="whole" operator="lessThanOrEqual" allowBlank="1" showErrorMessage="1" errorTitle="Mensagem de Erro" error="F não pode ser Superior a MF" sqref="P97">
      <formula1>O97</formula1>
    </dataValidation>
    <dataValidation type="whole" operator="lessThanOrEqual" allowBlank="1" showErrorMessage="1" errorTitle="Mensagem de Erro" error="F não pode ser Superior a MF" sqref="P98">
      <formula1>O98</formula1>
    </dataValidation>
    <dataValidation type="whole" operator="lessThanOrEqual" allowBlank="1" showErrorMessage="1" errorTitle="Mensagem de Erro" error="F não pode ser Superior a MF" sqref="P99">
      <formula1>O99</formula1>
    </dataValidation>
    <dataValidation type="whole" operator="lessThanOrEqual" allowBlank="1" showErrorMessage="1" errorTitle="Mensagem de Erro" error="F não pode ser Superior a MF" sqref="R100">
      <formula1>Q100</formula1>
    </dataValidation>
    <dataValidation type="whole" operator="lessThanOrEqual" allowBlank="1" showErrorMessage="1" errorTitle="Mensagem de Erro" error="F não pode ser Superior a MF" sqref="R101">
      <formula1>Q101</formula1>
    </dataValidation>
    <dataValidation type="whole" operator="lessThanOrEqual" allowBlank="1" showErrorMessage="1" errorTitle="Mensagem de Erro" error="F não pode ser Superior a MF" sqref="R102">
      <formula1>Q102</formula1>
    </dataValidation>
    <dataValidation type="whole" operator="lessThanOrEqual" allowBlank="1" showErrorMessage="1" errorTitle="Mensagem de Erro" error="F não pode ser Superior a MF" sqref="R103">
      <formula1>Q103</formula1>
    </dataValidation>
    <dataValidation type="whole" operator="lessThanOrEqual" allowBlank="1" showErrorMessage="1" errorTitle="Mensagem de Erro" error="F não pode ser Superior a MF" sqref="R105">
      <formula1>Q105</formula1>
    </dataValidation>
    <dataValidation type="whole" operator="lessThanOrEqual" allowBlank="1" showErrorMessage="1" errorTitle="Mensagem de Erro" error="F não pode ser Superior a MF" sqref="R106">
      <formula1>Q106</formula1>
    </dataValidation>
    <dataValidation type="whole" operator="lessThanOrEqual" allowBlank="1" showErrorMessage="1" errorTitle="Mensagem de Erro" error="F não pode ser Superior a MF" sqref="R107">
      <formula1>Q107</formula1>
    </dataValidation>
    <dataValidation type="whole" operator="lessThanOrEqual" allowBlank="1" showErrorMessage="1" errorTitle="Mensagem de Erro" error="F não pode ser Superior a MF" sqref="R108">
      <formula1>Q108</formula1>
    </dataValidation>
    <dataValidation type="whole" operator="lessThanOrEqual" allowBlank="1" showErrorMessage="1" errorTitle="Mensagem de Erro" error="F não pode ser Superior a MF" sqref="R109">
      <formula1>Q109</formula1>
    </dataValidation>
    <dataValidation type="whole" operator="lessThanOrEqual" allowBlank="1" showErrorMessage="1" errorTitle="Mensagem de Erro" error="F não pode ser Superior a MF" sqref="R110">
      <formula1>Q110</formula1>
    </dataValidation>
    <dataValidation type="whole" operator="lessThanOrEqual" allowBlank="1" showErrorMessage="1" errorTitle="Mensagem de Erro" error="F não pode ser Superior a MF" sqref="R111">
      <formula1>Q111</formula1>
    </dataValidation>
    <dataValidation type="whole" operator="lessThanOrEqual" allowBlank="1" showErrorMessage="1" errorTitle="Mensagem de Erro" error="F não pode ser Superior a MF" sqref="R112">
      <formula1>Q112</formula1>
    </dataValidation>
    <dataValidation type="whole" operator="lessThanOrEqual" allowBlank="1" showErrorMessage="1" errorTitle="Mensagem de Erro" error="F não pode ser Superior a MF" sqref="R113">
      <formula1>Q113</formula1>
    </dataValidation>
    <dataValidation type="whole" operator="lessThanOrEqual" allowBlank="1" showErrorMessage="1" errorTitle="Mensagem de Erro" error="F não pode ser Superior a MF" sqref="R114">
      <formula1>Q114</formula1>
    </dataValidation>
    <dataValidation type="whole" operator="lessThanOrEqual" allowBlank="1" showErrorMessage="1" errorTitle="Mensagem de Erro" error="F não pode ser Superior a MF" sqref="R115">
      <formula1>Q115</formula1>
    </dataValidation>
    <dataValidation type="whole" operator="lessThanOrEqual" allowBlank="1" showErrorMessage="1" errorTitle="Mensagem de Erro" error="F não pode ser Superior a MF" sqref="R15">
      <formula1>Q15</formula1>
    </dataValidation>
    <dataValidation type="whole" operator="lessThanOrEqual" allowBlank="1" showErrorMessage="1" errorTitle="Mensagem de Erro" error="F não pode ser Superior a MF" sqref="R16">
      <formula1>Q16</formula1>
    </dataValidation>
    <dataValidation type="whole" operator="lessThanOrEqual" allowBlank="1" showErrorMessage="1" errorTitle="Mensagem de Erro" error="F não pode ser Superior a MF" sqref="R17">
      <formula1>Q17</formula1>
    </dataValidation>
    <dataValidation type="whole" operator="lessThanOrEqual" allowBlank="1" showErrorMessage="1" errorTitle="Mensagem de Erro" error="F não pode ser Superior a MF" sqref="R18">
      <formula1>Q18</formula1>
    </dataValidation>
    <dataValidation type="whole" operator="lessThanOrEqual" allowBlank="1" showErrorMessage="1" errorTitle="Mensagem de Erro" error="F não pode ser Superior a MF" sqref="R19">
      <formula1>Q19</formula1>
    </dataValidation>
    <dataValidation type="whole" operator="lessThanOrEqual" allowBlank="1" showErrorMessage="1" errorTitle="Mensagem de Erro" error="F não pode ser Superior a MF" sqref="R20">
      <formula1>Q20</formula1>
    </dataValidation>
    <dataValidation type="whole" operator="lessThanOrEqual" allowBlank="1" showErrorMessage="1" errorTitle="Mensagem de Erro" error="F não pode ser Superior a MF" sqref="R22">
      <formula1>Q22</formula1>
    </dataValidation>
    <dataValidation type="whole" operator="lessThanOrEqual" allowBlank="1" showErrorMessage="1" errorTitle="Mensagem de Erro" error="F não pode ser Superior a MF" sqref="R23">
      <formula1>Q23</formula1>
    </dataValidation>
    <dataValidation type="whole" operator="lessThanOrEqual" allowBlank="1" showErrorMessage="1" errorTitle="Mensagem de Erro" error="F não pode ser Superior a MF" sqref="R24">
      <formula1>Q24</formula1>
    </dataValidation>
    <dataValidation type="whole" operator="lessThanOrEqual" allowBlank="1" showErrorMessage="1" errorTitle="Mensagem de Erro" error="F não pode ser Superior a MF" sqref="R25">
      <formula1>Q25</formula1>
    </dataValidation>
    <dataValidation type="whole" operator="lessThanOrEqual" allowBlank="1" showErrorMessage="1" errorTitle="Mensagem de Erro" error="F não pode ser Superior a MF" sqref="R26">
      <formula1>Q26</formula1>
    </dataValidation>
    <dataValidation type="whole" operator="lessThanOrEqual" allowBlank="1" showErrorMessage="1" errorTitle="Mensagem de Erro" error="F não pode ser Superior a MF" sqref="R27">
      <formula1>Q27</formula1>
    </dataValidation>
    <dataValidation type="whole" operator="lessThanOrEqual" allowBlank="1" showErrorMessage="1" errorTitle="Mensagem de Erro" error="F não pode ser Superior a MF" sqref="R29">
      <formula1>Q29</formula1>
    </dataValidation>
    <dataValidation type="whole" operator="lessThanOrEqual" allowBlank="1" showErrorMessage="1" errorTitle="Mensagem de Erro" error="F não pode ser Superior a MF" sqref="R30">
      <formula1>Q30</formula1>
    </dataValidation>
    <dataValidation type="whole" operator="lessThanOrEqual" allowBlank="1" showErrorMessage="1" errorTitle="Mensagem de Erro" error="F não pode ser Superior a MF" sqref="R31">
      <formula1>Q31</formula1>
    </dataValidation>
    <dataValidation type="whole" operator="lessThanOrEqual" allowBlank="1" showErrorMessage="1" errorTitle="Mensagem de Erro" error="F não pode ser Superior a MF" sqref="R32">
      <formula1>Q32</formula1>
    </dataValidation>
    <dataValidation type="whole" operator="lessThanOrEqual" allowBlank="1" showErrorMessage="1" errorTitle="Mensagem de Erro" error="F não pode ser Superior a MF" sqref="R33">
      <formula1>Q33</formula1>
    </dataValidation>
    <dataValidation type="whole" operator="lessThanOrEqual" allowBlank="1" showErrorMessage="1" errorTitle="Mensagem de Erro" error="F não pode ser Superior a MF" sqref="R34">
      <formula1>Q34</formula1>
    </dataValidation>
    <dataValidation type="whole" operator="lessThanOrEqual" allowBlank="1" showErrorMessage="1" errorTitle="Mensagem de Erro" error="F não pode ser Superior a MF" sqref="R41">
      <formula1>Q41</formula1>
    </dataValidation>
    <dataValidation type="whole" operator="lessThanOrEqual" allowBlank="1" showErrorMessage="1" errorTitle="Mensagem de Erro" error="F não pode ser Superior a MF" sqref="R42">
      <formula1>Q42</formula1>
    </dataValidation>
    <dataValidation type="whole" operator="lessThanOrEqual" allowBlank="1" showErrorMessage="1" errorTitle="Mensagem de Erro" error="F não pode ser Superior a MF" sqref="R43">
      <formula1>Q43</formula1>
    </dataValidation>
    <dataValidation type="whole" operator="lessThanOrEqual" allowBlank="1" showErrorMessage="1" errorTitle="Mensagem de Erro" error="F não pode ser Superior a MF" sqref="R44">
      <formula1>Q44</formula1>
    </dataValidation>
    <dataValidation type="whole" operator="lessThanOrEqual" allowBlank="1" showErrorMessage="1" errorTitle="Mensagem de Erro" error="F não pode ser Superior a MF" sqref="R45">
      <formula1>Q45</formula1>
    </dataValidation>
    <dataValidation type="whole" operator="lessThanOrEqual" allowBlank="1" showErrorMessage="1" errorTitle="Mensagem de Erro" error="F não pode ser Superior a MF" sqref="R46">
      <formula1>Q46</formula1>
    </dataValidation>
    <dataValidation type="whole" operator="lessThanOrEqual" allowBlank="1" showErrorMessage="1" errorTitle="Mensagem de Erro" error="F não pode ser Superior a MF" sqref="R47">
      <formula1>Q47</formula1>
    </dataValidation>
    <dataValidation type="whole" operator="lessThanOrEqual" allowBlank="1" showErrorMessage="1" errorTitle="Mensagem de Erro" error="F não pode ser Superior a MF" sqref="R48">
      <formula1>Q48</formula1>
    </dataValidation>
    <dataValidation type="whole" operator="lessThanOrEqual" allowBlank="1" showErrorMessage="1" errorTitle="Mensagem de Erro" error="F não pode ser Superior a MF" sqref="R49">
      <formula1>Q49</formula1>
    </dataValidation>
    <dataValidation type="whole" operator="lessThanOrEqual" allowBlank="1" showErrorMessage="1" errorTitle="Mensagem de Erro" error="F não pode ser Superior a MF" sqref="R55">
      <formula1>Q55</formula1>
    </dataValidation>
    <dataValidation type="whole" operator="lessThanOrEqual" allowBlank="1" showErrorMessage="1" errorTitle="Mensagem de Erro" error="F não pode ser Superior a MF" sqref="R56">
      <formula1>Q56</formula1>
    </dataValidation>
    <dataValidation type="whole" operator="lessThanOrEqual" allowBlank="1" showErrorMessage="1" errorTitle="Mensagem de Erro" error="F não pode ser Superior a MF" sqref="R57">
      <formula1>Q57</formula1>
    </dataValidation>
    <dataValidation type="whole" operator="lessThanOrEqual" allowBlank="1" showErrorMessage="1" errorTitle="Mensagem de Erro" error="F não pode ser Superior a MF" sqref="R58">
      <formula1>Q58</formula1>
    </dataValidation>
    <dataValidation type="whole" operator="lessThanOrEqual" allowBlank="1" showErrorMessage="1" errorTitle="Mensagem de Erro" error="F não pode ser Superior a MF" sqref="R59">
      <formula1>Q59</formula1>
    </dataValidation>
    <dataValidation type="whole" operator="lessThanOrEqual" allowBlank="1" showErrorMessage="1" errorTitle="Mensagem de Erro" error="F não pode ser Superior a MF" sqref="R60">
      <formula1>Q60</formula1>
    </dataValidation>
    <dataValidation type="whole" operator="lessThanOrEqual" allowBlank="1" showErrorMessage="1" errorTitle="Mensagem de Erro" error="F não pode ser Superior a MF" sqref="R62">
      <formula1>Q62</formula1>
    </dataValidation>
    <dataValidation type="whole" operator="lessThanOrEqual" allowBlank="1" showErrorMessage="1" errorTitle="Mensagem de Erro" error="F não pode ser Superior a MF" sqref="R63">
      <formula1>Q63</formula1>
    </dataValidation>
    <dataValidation type="whole" operator="lessThanOrEqual" allowBlank="1" showErrorMessage="1" errorTitle="Mensagem de Erro" error="F não pode ser Superior a MF" sqref="R64">
      <formula1>Q64</formula1>
    </dataValidation>
    <dataValidation type="whole" operator="lessThanOrEqual" allowBlank="1" showErrorMessage="1" errorTitle="Mensagem de Erro" error="F não pode ser Superior a MF" sqref="R65">
      <formula1>Q65</formula1>
    </dataValidation>
    <dataValidation type="whole" operator="lessThanOrEqual" allowBlank="1" showErrorMessage="1" errorTitle="Mensagem de Erro" error="F não pode ser Superior a MF" sqref="R66">
      <formula1>Q66</formula1>
    </dataValidation>
    <dataValidation type="whole" operator="lessThanOrEqual" allowBlank="1" showErrorMessage="1" errorTitle="Mensagem de Erro" error="F não pode ser Superior a MF" sqref="R67">
      <formula1>Q67</formula1>
    </dataValidation>
    <dataValidation type="whole" operator="lessThanOrEqual" allowBlank="1" showErrorMessage="1" errorTitle="Mensagem de Erro" error="F não pode ser Superior a MF" sqref="R69">
      <formula1>Q69</formula1>
    </dataValidation>
    <dataValidation type="whole" operator="lessThanOrEqual" allowBlank="1" showErrorMessage="1" errorTitle="Mensagem de Erro" error="F não pode ser Superior a MF" sqref="R70">
      <formula1>Q70</formula1>
    </dataValidation>
    <dataValidation type="whole" operator="lessThanOrEqual" allowBlank="1" showErrorMessage="1" errorTitle="Mensagem de Erro" error="F não pode ser Superior a MF" sqref="R71">
      <formula1>Q71</formula1>
    </dataValidation>
    <dataValidation type="whole" operator="lessThanOrEqual" allowBlank="1" showErrorMessage="1" errorTitle="Mensagem de Erro" error="F não pode ser Superior a MF" sqref="R72">
      <formula1>Q72</formula1>
    </dataValidation>
    <dataValidation type="whole" operator="lessThanOrEqual" allowBlank="1" showErrorMessage="1" errorTitle="Mensagem de Erro" error="F não pode ser Superior a MF" sqref="R73">
      <formula1>Q73</formula1>
    </dataValidation>
    <dataValidation type="whole" operator="lessThanOrEqual" allowBlank="1" showErrorMessage="1" errorTitle="Mensagem de Erro" error="F não pode ser Superior a MF" sqref="R74">
      <formula1>Q74</formula1>
    </dataValidation>
    <dataValidation type="whole" operator="lessThanOrEqual" allowBlank="1" showErrorMessage="1" errorTitle="Mensagem de Erro" error="F não pode ser Superior a MF" sqref="R81">
      <formula1>Q81</formula1>
    </dataValidation>
    <dataValidation type="whole" operator="lessThanOrEqual" allowBlank="1" showErrorMessage="1" errorTitle="Mensagem de Erro" error="F não pode ser Superior a MF" sqref="R82">
      <formula1>Q82</formula1>
    </dataValidation>
    <dataValidation type="whole" operator="lessThanOrEqual" allowBlank="1" showErrorMessage="1" errorTitle="Mensagem de Erro" error="F não pode ser Superior a MF" sqref="R83">
      <formula1>Q83</formula1>
    </dataValidation>
    <dataValidation type="whole" operator="lessThanOrEqual" allowBlank="1" showErrorMessage="1" errorTitle="Mensagem de Erro" error="F não pode ser Superior a MF" sqref="R84">
      <formula1>Q84</formula1>
    </dataValidation>
    <dataValidation type="whole" operator="lessThanOrEqual" allowBlank="1" showErrorMessage="1" errorTitle="Mensagem de Erro" error="F não pode ser Superior a MF" sqref="R85">
      <formula1>Q85</formula1>
    </dataValidation>
    <dataValidation type="whole" operator="lessThanOrEqual" allowBlank="1" showErrorMessage="1" errorTitle="Mensagem de Erro" error="F não pode ser Superior a MF" sqref="R86">
      <formula1>Q86</formula1>
    </dataValidation>
    <dataValidation type="whole" operator="lessThanOrEqual" allowBlank="1" showErrorMessage="1" errorTitle="Mensagem de Erro" error="F não pode ser Superior a MF" sqref="R87">
      <formula1>Q87</formula1>
    </dataValidation>
    <dataValidation type="whole" operator="lessThanOrEqual" allowBlank="1" showErrorMessage="1" errorTitle="Mensagem de Erro" error="F não pode ser Superior a MF" sqref="R88">
      <formula1>Q88</formula1>
    </dataValidation>
    <dataValidation type="whole" operator="lessThanOrEqual" allowBlank="1" showErrorMessage="1" errorTitle="Mensagem de Erro" error="F não pode ser Superior a MF" sqref="R89">
      <formula1>Q89</formula1>
    </dataValidation>
    <dataValidation type="whole" operator="lessThanOrEqual" allowBlank="1" showErrorMessage="1" errorTitle="Mensagem de Erro" error="F não pode ser Superior a MF" sqref="R90">
      <formula1>Q90</formula1>
    </dataValidation>
    <dataValidation type="whole" operator="lessThanOrEqual" allowBlank="1" showErrorMessage="1" errorTitle="Mensagem de Erro" error="F não pode ser Superior a MF" sqref="R91">
      <formula1>Q91</formula1>
    </dataValidation>
    <dataValidation type="whole" operator="lessThanOrEqual" allowBlank="1" showErrorMessage="1" errorTitle="Mensagem de Erro" error="F não pode ser Superior a MF" sqref="R93">
      <formula1>Q93</formula1>
    </dataValidation>
    <dataValidation type="whole" operator="lessThanOrEqual" allowBlank="1" showErrorMessage="1" errorTitle="Mensagem de Erro" error="F não pode ser Superior a MF" sqref="R94">
      <formula1>Q94</formula1>
    </dataValidation>
    <dataValidation type="whole" operator="lessThanOrEqual" allowBlank="1" showErrorMessage="1" errorTitle="Mensagem de Erro" error="F não pode ser Superior a MF" sqref="R95">
      <formula1>Q95</formula1>
    </dataValidation>
    <dataValidation type="whole" operator="lessThanOrEqual" allowBlank="1" showErrorMessage="1" errorTitle="Mensagem de Erro" error="F não pode ser Superior a MF" sqref="R96">
      <formula1>Q96</formula1>
    </dataValidation>
    <dataValidation type="whole" operator="lessThanOrEqual" allowBlank="1" showErrorMessage="1" errorTitle="Mensagem de Erro" error="F não pode ser Superior a MF" sqref="R97">
      <formula1>Q97</formula1>
    </dataValidation>
    <dataValidation type="whole" operator="lessThanOrEqual" allowBlank="1" showErrorMessage="1" errorTitle="Mensagem de Erro" error="F não pode ser Superior a MF" sqref="R98">
      <formula1>Q98</formula1>
    </dataValidation>
    <dataValidation type="whole" operator="lessThanOrEqual" allowBlank="1" showErrorMessage="1" errorTitle="Mensagem de Erro" error="F não pode ser Superior a MF" sqref="R99">
      <formula1>Q99</formula1>
    </dataValidation>
    <dataValidation type="whole" operator="lessThanOrEqual" allowBlank="1" showErrorMessage="1" errorTitle="Mensagem de Erro" error="F não pode ser Superior a MF" sqref="T100">
      <formula1>S100</formula1>
    </dataValidation>
    <dataValidation type="whole" operator="lessThanOrEqual" allowBlank="1" showErrorMessage="1" errorTitle="Mensagem de Erro" error="F não pode ser Superior a MF" sqref="T101">
      <formula1>S101</formula1>
    </dataValidation>
    <dataValidation type="whole" operator="lessThanOrEqual" allowBlank="1" showErrorMessage="1" errorTitle="Mensagem de Erro" error="F não pode ser Superior a MF" sqref="T102">
      <formula1>S102</formula1>
    </dataValidation>
    <dataValidation type="whole" operator="lessThanOrEqual" allowBlank="1" showErrorMessage="1" errorTitle="Mensagem de Erro" error="F não pode ser Superior a MF" sqref="T103">
      <formula1>S103</formula1>
    </dataValidation>
    <dataValidation type="whole" operator="lessThanOrEqual" allowBlank="1" showErrorMessage="1" errorTitle="Mensagem de Erro" error="F não pode ser Superior a MF" sqref="T105">
      <formula1>S105</formula1>
    </dataValidation>
    <dataValidation type="whole" operator="lessThanOrEqual" allowBlank="1" showErrorMessage="1" errorTitle="Mensagem de Erro" error="F não pode ser Superior a MF" sqref="T106">
      <formula1>S106</formula1>
    </dataValidation>
    <dataValidation type="whole" operator="lessThanOrEqual" allowBlank="1" showErrorMessage="1" errorTitle="Mensagem de Erro" error="F não pode ser Superior a MF" sqref="T107">
      <formula1>S107</formula1>
    </dataValidation>
    <dataValidation type="whole" operator="lessThanOrEqual" allowBlank="1" showErrorMessage="1" errorTitle="Mensagem de Erro" error="F não pode ser Superior a MF" sqref="T108">
      <formula1>S108</formula1>
    </dataValidation>
    <dataValidation type="whole" operator="lessThanOrEqual" allowBlank="1" showErrorMessage="1" errorTitle="Mensagem de Erro" error="F não pode ser Superior a MF" sqref="T109">
      <formula1>S109</formula1>
    </dataValidation>
    <dataValidation type="whole" operator="lessThanOrEqual" allowBlank="1" showErrorMessage="1" errorTitle="Mensagem de Erro" error="F não pode ser Superior a MF" sqref="T110">
      <formula1>S110</formula1>
    </dataValidation>
    <dataValidation type="whole" operator="lessThanOrEqual" allowBlank="1" showErrorMessage="1" errorTitle="Mensagem de Erro" error="F não pode ser Superior a MF" sqref="T111">
      <formula1>S111</formula1>
    </dataValidation>
    <dataValidation type="whole" operator="lessThanOrEqual" allowBlank="1" showErrorMessage="1" errorTitle="Mensagem de Erro" error="F não pode ser Superior a MF" sqref="T112">
      <formula1>S112</formula1>
    </dataValidation>
    <dataValidation type="whole" operator="lessThanOrEqual" allowBlank="1" showErrorMessage="1" errorTitle="Mensagem de Erro" error="F não pode ser Superior a MF" sqref="T113">
      <formula1>S113</formula1>
    </dataValidation>
    <dataValidation type="whole" operator="lessThanOrEqual" allowBlank="1" showErrorMessage="1" errorTitle="Mensagem de Erro" error="F não pode ser Superior a MF" sqref="T114">
      <formula1>S114</formula1>
    </dataValidation>
    <dataValidation type="whole" operator="lessThanOrEqual" allowBlank="1" showErrorMessage="1" errorTitle="Mensagem de Erro" error="F não pode ser Superior a MF" sqref="T115">
      <formula1>S115</formula1>
    </dataValidation>
    <dataValidation type="whole" operator="lessThanOrEqual" allowBlank="1" showErrorMessage="1" errorTitle="Mensagem de Erro" error="F não pode ser Superior a MF" sqref="T15">
      <formula1>S15</formula1>
    </dataValidation>
    <dataValidation type="whole" operator="lessThanOrEqual" allowBlank="1" showErrorMessage="1" errorTitle="Mensagem de Erro" error="F não pode ser Superior a MF" sqref="T16">
      <formula1>S16</formula1>
    </dataValidation>
    <dataValidation type="whole" operator="lessThanOrEqual" allowBlank="1" showErrorMessage="1" errorTitle="Mensagem de Erro" error="F não pode ser Superior a MF" sqref="T17">
      <formula1>S17</formula1>
    </dataValidation>
    <dataValidation type="whole" operator="lessThanOrEqual" allowBlank="1" showErrorMessage="1" errorTitle="Mensagem de Erro" error="F não pode ser Superior a MF" sqref="T18">
      <formula1>S18</formula1>
    </dataValidation>
    <dataValidation type="whole" operator="lessThanOrEqual" allowBlank="1" showErrorMessage="1" errorTitle="Mensagem de Erro" error="F não pode ser Superior a MF" sqref="T19">
      <formula1>S19</formula1>
    </dataValidation>
    <dataValidation type="whole" operator="lessThanOrEqual" allowBlank="1" showErrorMessage="1" errorTitle="Mensagem de Erro" error="F não pode ser Superior a MF" sqref="T20">
      <formula1>S20</formula1>
    </dataValidation>
    <dataValidation type="whole" operator="lessThanOrEqual" allowBlank="1" showErrorMessage="1" errorTitle="Mensagem de Erro" error="F não pode ser Superior a MF" sqref="T22">
      <formula1>S22</formula1>
    </dataValidation>
    <dataValidation type="whole" operator="lessThanOrEqual" allowBlank="1" showErrorMessage="1" errorTitle="Mensagem de Erro" error="F não pode ser Superior a MF" sqref="T23">
      <formula1>S23</formula1>
    </dataValidation>
    <dataValidation type="whole" operator="lessThanOrEqual" allowBlank="1" showErrorMessage="1" errorTitle="Mensagem de Erro" error="F não pode ser Superior a MF" sqref="T24">
      <formula1>S24</formula1>
    </dataValidation>
    <dataValidation type="whole" operator="lessThanOrEqual" allowBlank="1" showErrorMessage="1" errorTitle="Mensagem de Erro" error="F não pode ser Superior a MF" sqref="T25">
      <formula1>S25</formula1>
    </dataValidation>
    <dataValidation type="whole" operator="lessThanOrEqual" allowBlank="1" showErrorMessage="1" errorTitle="Mensagem de Erro" error="F não pode ser Superior a MF" sqref="T26">
      <formula1>S26</formula1>
    </dataValidation>
    <dataValidation type="whole" operator="lessThanOrEqual" allowBlank="1" showErrorMessage="1" errorTitle="Mensagem de Erro" error="F não pode ser Superior a MF" sqref="T27">
      <formula1>S27</formula1>
    </dataValidation>
    <dataValidation type="whole" operator="lessThanOrEqual" allowBlank="1" showErrorMessage="1" errorTitle="Mensagem de Erro" error="F não pode ser Superior a MF" sqref="T29">
      <formula1>S29</formula1>
    </dataValidation>
    <dataValidation type="whole" operator="lessThanOrEqual" allowBlank="1" showErrorMessage="1" errorTitle="Mensagem de Erro" error="F não pode ser Superior a MF" sqref="T30">
      <formula1>S30</formula1>
    </dataValidation>
    <dataValidation type="whole" operator="lessThanOrEqual" allowBlank="1" showErrorMessage="1" errorTitle="Mensagem de Erro" error="F não pode ser Superior a MF" sqref="T31">
      <formula1>S31</formula1>
    </dataValidation>
    <dataValidation type="whole" operator="lessThanOrEqual" allowBlank="1" showErrorMessage="1" errorTitle="Mensagem de Erro" error="F não pode ser Superior a MF" sqref="T32">
      <formula1>S32</formula1>
    </dataValidation>
    <dataValidation type="whole" operator="lessThanOrEqual" allowBlank="1" showErrorMessage="1" errorTitle="Mensagem de Erro" error="F não pode ser Superior a MF" sqref="T33">
      <formula1>S33</formula1>
    </dataValidation>
    <dataValidation type="whole" operator="lessThanOrEqual" allowBlank="1" showErrorMessage="1" errorTitle="Mensagem de Erro" error="F não pode ser Superior a MF" sqref="T34">
      <formula1>S34</formula1>
    </dataValidation>
    <dataValidation type="whole" operator="lessThanOrEqual" allowBlank="1" showErrorMessage="1" errorTitle="Mensagem de Erro" error="F não pode ser Superior a MF" sqref="T41">
      <formula1>S41</formula1>
    </dataValidation>
    <dataValidation type="whole" operator="lessThanOrEqual" allowBlank="1" showErrorMessage="1" errorTitle="Mensagem de Erro" error="F não pode ser Superior a MF" sqref="T42">
      <formula1>S42</formula1>
    </dataValidation>
    <dataValidation type="whole" operator="lessThanOrEqual" allowBlank="1" showErrorMessage="1" errorTitle="Mensagem de Erro" error="F não pode ser Superior a MF" sqref="T43">
      <formula1>S43</formula1>
    </dataValidation>
    <dataValidation type="whole" operator="lessThanOrEqual" allowBlank="1" showErrorMessage="1" errorTitle="Mensagem de Erro" error="F não pode ser Superior a MF" sqref="T44">
      <formula1>S44</formula1>
    </dataValidation>
    <dataValidation type="whole" operator="lessThanOrEqual" allowBlank="1" showErrorMessage="1" errorTitle="Mensagem de Erro" error="F não pode ser Superior a MF" sqref="T45">
      <formula1>S45</formula1>
    </dataValidation>
    <dataValidation type="whole" operator="lessThanOrEqual" allowBlank="1" showErrorMessage="1" errorTitle="Mensagem de Erro" error="F não pode ser Superior a MF" sqref="T46">
      <formula1>S46</formula1>
    </dataValidation>
    <dataValidation type="whole" operator="lessThanOrEqual" allowBlank="1" showErrorMessage="1" errorTitle="Mensagem de Erro" error="F não pode ser Superior a MF" sqref="T47">
      <formula1>S47</formula1>
    </dataValidation>
    <dataValidation type="whole" operator="lessThanOrEqual" allowBlank="1" showErrorMessage="1" errorTitle="Mensagem de Erro" error="F não pode ser Superior a MF" sqref="T48">
      <formula1>S48</formula1>
    </dataValidation>
    <dataValidation type="whole" operator="lessThanOrEqual" allowBlank="1" showErrorMessage="1" errorTitle="Mensagem de Erro" error="F não pode ser Superior a MF" sqref="T49">
      <formula1>S49</formula1>
    </dataValidation>
    <dataValidation type="whole" operator="lessThanOrEqual" allowBlank="1" showErrorMessage="1" errorTitle="Mensagem de Erro" error="F não pode ser Superior a MF" sqref="T55">
      <formula1>S55</formula1>
    </dataValidation>
    <dataValidation type="whole" operator="lessThanOrEqual" allowBlank="1" showErrorMessage="1" errorTitle="Mensagem de Erro" error="F não pode ser Superior a MF" sqref="T56">
      <formula1>S56</formula1>
    </dataValidation>
    <dataValidation type="whole" operator="lessThanOrEqual" allowBlank="1" showErrorMessage="1" errorTitle="Mensagem de Erro" error="F não pode ser Superior a MF" sqref="T57">
      <formula1>S57</formula1>
    </dataValidation>
    <dataValidation type="whole" operator="lessThanOrEqual" allowBlank="1" showErrorMessage="1" errorTitle="Mensagem de Erro" error="F não pode ser Superior a MF" sqref="T58">
      <formula1>S58</formula1>
    </dataValidation>
    <dataValidation type="whole" operator="lessThanOrEqual" allowBlank="1" showErrorMessage="1" errorTitle="Mensagem de Erro" error="F não pode ser Superior a MF" sqref="T59">
      <formula1>S59</formula1>
    </dataValidation>
    <dataValidation type="whole" operator="lessThanOrEqual" allowBlank="1" showErrorMessage="1" errorTitle="Mensagem de Erro" error="F não pode ser Superior a MF" sqref="T60">
      <formula1>S60</formula1>
    </dataValidation>
    <dataValidation type="whole" operator="lessThanOrEqual" allowBlank="1" showErrorMessage="1" errorTitle="Mensagem de Erro" error="F não pode ser Superior a MF" sqref="T62">
      <formula1>S62</formula1>
    </dataValidation>
    <dataValidation type="whole" operator="lessThanOrEqual" allowBlank="1" showErrorMessage="1" errorTitle="Mensagem de Erro" error="F não pode ser Superior a MF" sqref="T63">
      <formula1>S63</formula1>
    </dataValidation>
    <dataValidation type="whole" operator="lessThanOrEqual" allowBlank="1" showErrorMessage="1" errorTitle="Mensagem de Erro" error="F não pode ser Superior a MF" sqref="T64">
      <formula1>S64</formula1>
    </dataValidation>
    <dataValidation type="whole" operator="lessThanOrEqual" allowBlank="1" showErrorMessage="1" errorTitle="Mensagem de Erro" error="F não pode ser Superior a MF" sqref="T65">
      <formula1>S65</formula1>
    </dataValidation>
    <dataValidation type="whole" operator="lessThanOrEqual" allowBlank="1" showErrorMessage="1" errorTitle="Mensagem de Erro" error="F não pode ser Superior a MF" sqref="T66">
      <formula1>S66</formula1>
    </dataValidation>
    <dataValidation type="whole" operator="lessThanOrEqual" allowBlank="1" showErrorMessage="1" errorTitle="Mensagem de Erro" error="F não pode ser Superior a MF" sqref="T67">
      <formula1>S67</formula1>
    </dataValidation>
    <dataValidation type="whole" operator="lessThanOrEqual" allowBlank="1" showErrorMessage="1" errorTitle="Mensagem de Erro" error="F não pode ser Superior a MF" sqref="T69">
      <formula1>S69</formula1>
    </dataValidation>
    <dataValidation type="whole" operator="lessThanOrEqual" allowBlank="1" showErrorMessage="1" errorTitle="Mensagem de Erro" error="F não pode ser Superior a MF" sqref="T70">
      <formula1>S70</formula1>
    </dataValidation>
    <dataValidation type="whole" operator="lessThanOrEqual" allowBlank="1" showErrorMessage="1" errorTitle="Mensagem de Erro" error="F não pode ser Superior a MF" sqref="T71">
      <formula1>S71</formula1>
    </dataValidation>
    <dataValidation type="whole" operator="lessThanOrEqual" allowBlank="1" showErrorMessage="1" errorTitle="Mensagem de Erro" error="F não pode ser Superior a MF" sqref="T72">
      <formula1>S72</formula1>
    </dataValidation>
    <dataValidation type="whole" operator="lessThanOrEqual" allowBlank="1" showErrorMessage="1" errorTitle="Mensagem de Erro" error="F não pode ser Superior a MF" sqref="T73">
      <formula1>S73</formula1>
    </dataValidation>
    <dataValidation type="whole" operator="lessThanOrEqual" allowBlank="1" showErrorMessage="1" errorTitle="Mensagem de Erro" error="F não pode ser Superior a MF" sqref="T74">
      <formula1>S74</formula1>
    </dataValidation>
    <dataValidation type="whole" operator="lessThanOrEqual" allowBlank="1" showErrorMessage="1" errorTitle="Mensagem de Erro" error="F não pode ser Superior a MF" sqref="T81">
      <formula1>S81</formula1>
    </dataValidation>
    <dataValidation type="whole" operator="lessThanOrEqual" allowBlank="1" showErrorMessage="1" errorTitle="Mensagem de Erro" error="F não pode ser Superior a MF" sqref="T82">
      <formula1>S82</formula1>
    </dataValidation>
    <dataValidation type="whole" operator="lessThanOrEqual" allowBlank="1" showErrorMessage="1" errorTitle="Mensagem de Erro" error="F não pode ser Superior a MF" sqref="T83">
      <formula1>S83</formula1>
    </dataValidation>
    <dataValidation type="whole" operator="lessThanOrEqual" allowBlank="1" showErrorMessage="1" errorTitle="Mensagem de Erro" error="F não pode ser Superior a MF" sqref="T84">
      <formula1>S84</formula1>
    </dataValidation>
    <dataValidation type="whole" operator="lessThanOrEqual" allowBlank="1" showErrorMessage="1" errorTitle="Mensagem de Erro" error="F não pode ser Superior a MF" sqref="T85">
      <formula1>S85</formula1>
    </dataValidation>
    <dataValidation type="whole" operator="lessThanOrEqual" allowBlank="1" showErrorMessage="1" errorTitle="Mensagem de Erro" error="F não pode ser Superior a MF" sqref="T86">
      <formula1>S86</formula1>
    </dataValidation>
    <dataValidation type="whole" operator="lessThanOrEqual" allowBlank="1" showErrorMessage="1" errorTitle="Mensagem de Erro" error="F não pode ser Superior a MF" sqref="T87">
      <formula1>S87</formula1>
    </dataValidation>
    <dataValidation type="whole" operator="lessThanOrEqual" allowBlank="1" showErrorMessage="1" errorTitle="Mensagem de Erro" error="F não pode ser Superior a MF" sqref="T88">
      <formula1>S88</formula1>
    </dataValidation>
    <dataValidation type="whole" operator="lessThanOrEqual" allowBlank="1" showErrorMessage="1" errorTitle="Mensagem de Erro" error="F não pode ser Superior a MF" sqref="T89">
      <formula1>S89</formula1>
    </dataValidation>
    <dataValidation type="whole" operator="lessThanOrEqual" allowBlank="1" showErrorMessage="1" errorTitle="Mensagem de Erro" error="F não pode ser Superior a MF" sqref="T90">
      <formula1>S90</formula1>
    </dataValidation>
    <dataValidation type="whole" operator="lessThanOrEqual" allowBlank="1" showErrorMessage="1" errorTitle="Mensagem de Erro" error="F não pode ser Superior a MF" sqref="T91">
      <formula1>S91</formula1>
    </dataValidation>
    <dataValidation type="whole" operator="lessThanOrEqual" allowBlank="1" showErrorMessage="1" errorTitle="Mensagem de Erro" error="F não pode ser Superior a MF" sqref="T93">
      <formula1>S93</formula1>
    </dataValidation>
    <dataValidation type="whole" operator="lessThanOrEqual" allowBlank="1" showErrorMessage="1" errorTitle="Mensagem de Erro" error="F não pode ser Superior a MF" sqref="T94">
      <formula1>S94</formula1>
    </dataValidation>
    <dataValidation type="whole" operator="lessThanOrEqual" allowBlank="1" showErrorMessage="1" errorTitle="Mensagem de Erro" error="F não pode ser Superior a MF" sqref="T95">
      <formula1>S95</formula1>
    </dataValidation>
    <dataValidation type="whole" operator="lessThanOrEqual" allowBlank="1" showErrorMessage="1" errorTitle="Mensagem de Erro" error="F não pode ser Superior a MF" sqref="T96">
      <formula1>S96</formula1>
    </dataValidation>
    <dataValidation type="whole" operator="lessThanOrEqual" allowBlank="1" showErrorMessage="1" errorTitle="Mensagem de Erro" error="F não pode ser Superior a MF" sqref="T97">
      <formula1>S97</formula1>
    </dataValidation>
    <dataValidation type="whole" operator="lessThanOrEqual" allowBlank="1" showErrorMessage="1" errorTitle="Mensagem de Erro" error="F não pode ser Superior a MF" sqref="T98">
      <formula1>S98</formula1>
    </dataValidation>
    <dataValidation type="whole" operator="lessThanOrEqual" allowBlank="1" showErrorMessage="1" errorTitle="Mensagem de Erro" error="F não pode ser Superior a MF" sqref="T99">
      <formula1>S99</formula1>
    </dataValidation>
    <dataValidation type="whole" operator="lessThanOrEqual" allowBlank="1" showErrorMessage="1" errorTitle="Mensagem de Erro" error="F não pode ser Superior a MF" sqref="V15">
      <formula1>U15</formula1>
    </dataValidation>
    <dataValidation type="whole" operator="lessThanOrEqual" allowBlank="1" showErrorMessage="1" errorTitle="Mensagem de Erro" error="F não pode ser Superior a MF" sqref="V16">
      <formula1>U16</formula1>
    </dataValidation>
    <dataValidation type="whole" operator="lessThanOrEqual" allowBlank="1" showErrorMessage="1" errorTitle="Mensagem de Erro" error="F não pode ser Superior a MF" sqref="V17">
      <formula1>U17</formula1>
    </dataValidation>
    <dataValidation type="whole" operator="lessThanOrEqual" allowBlank="1" showErrorMessage="1" errorTitle="Mensagem de Erro" error="F não pode ser Superior a MF" sqref="V18">
      <formula1>U18</formula1>
    </dataValidation>
    <dataValidation type="whole" operator="lessThanOrEqual" allowBlank="1" showErrorMessage="1" errorTitle="Mensagem de Erro" error="F não pode ser Superior a MF" sqref="V19">
      <formula1>U19</formula1>
    </dataValidation>
    <dataValidation type="whole" operator="lessThanOrEqual" allowBlank="1" showErrorMessage="1" errorTitle="Mensagem de Erro" error="F não pode ser Superior a MF" sqref="V20">
      <formula1>U20</formula1>
    </dataValidation>
    <dataValidation type="whole" operator="lessThanOrEqual" allowBlank="1" showErrorMessage="1" errorTitle="Mensagem de Erro" error="F não pode ser Superior a MF" sqref="V22">
      <formula1>U22</formula1>
    </dataValidation>
    <dataValidation type="whole" operator="lessThanOrEqual" allowBlank="1" showErrorMessage="1" errorTitle="Mensagem de Erro" error="F não pode ser Superior a MF" sqref="V23">
      <formula1>U23</formula1>
    </dataValidation>
    <dataValidation type="whole" operator="lessThanOrEqual" allowBlank="1" showErrorMessage="1" errorTitle="Mensagem de Erro" error="F não pode ser Superior a MF" sqref="V24">
      <formula1>U24</formula1>
    </dataValidation>
    <dataValidation type="whole" operator="lessThanOrEqual" allowBlank="1" showErrorMessage="1" errorTitle="Mensagem de Erro" error="F não pode ser Superior a MF" sqref="V25">
      <formula1>U25</formula1>
    </dataValidation>
    <dataValidation type="whole" operator="lessThanOrEqual" allowBlank="1" showErrorMessage="1" errorTitle="Mensagem de Erro" error="F não pode ser Superior a MF" sqref="V26">
      <formula1>U26</formula1>
    </dataValidation>
    <dataValidation type="whole" operator="lessThanOrEqual" allowBlank="1" showErrorMessage="1" errorTitle="Mensagem de Erro" error="F não pode ser Superior a MF" sqref="V27">
      <formula1>U27</formula1>
    </dataValidation>
    <dataValidation type="whole" operator="lessThanOrEqual" allowBlank="1" showErrorMessage="1" errorTitle="Mensagem de Erro" error="F não pode ser Superior a MF" sqref="V29">
      <formula1>U29</formula1>
    </dataValidation>
    <dataValidation type="whole" operator="lessThanOrEqual" allowBlank="1" showErrorMessage="1" errorTitle="Mensagem de Erro" error="F não pode ser Superior a MF" sqref="V30">
      <formula1>U30</formula1>
    </dataValidation>
    <dataValidation type="whole" operator="lessThanOrEqual" allowBlank="1" showErrorMessage="1" errorTitle="Mensagem de Erro" error="F não pode ser Superior a MF" sqref="V31">
      <formula1>U31</formula1>
    </dataValidation>
    <dataValidation type="whole" operator="lessThanOrEqual" allowBlank="1" showErrorMessage="1" errorTitle="Mensagem de Erro" error="F não pode ser Superior a MF" sqref="V32">
      <formula1>U32</formula1>
    </dataValidation>
    <dataValidation type="whole" operator="lessThanOrEqual" allowBlank="1" showErrorMessage="1" errorTitle="Mensagem de Erro" error="F não pode ser Superior a MF" sqref="V33">
      <formula1>U33</formula1>
    </dataValidation>
    <dataValidation type="whole" operator="lessThanOrEqual" allowBlank="1" showErrorMessage="1" errorTitle="Mensagem de Erro" error="F não pode ser Superior a MF" sqref="V34">
      <formula1>U34</formula1>
    </dataValidation>
    <dataValidation type="whole" operator="lessThanOrEqual" allowBlank="1" showErrorMessage="1" errorTitle="Mensagem de Erro" error="F não pode ser Superior a MF" sqref="V41">
      <formula1>U41</formula1>
    </dataValidation>
    <dataValidation type="whole" operator="lessThanOrEqual" allowBlank="1" showErrorMessage="1" errorTitle="Mensagem de Erro" error="F não pode ser Superior a MF" sqref="V42">
      <formula1>U42</formula1>
    </dataValidation>
    <dataValidation type="whole" operator="lessThanOrEqual" allowBlank="1" showErrorMessage="1" errorTitle="Mensagem de Erro" error="F não pode ser Superior a MF" sqref="V43">
      <formula1>U43</formula1>
    </dataValidation>
    <dataValidation type="whole" operator="lessThanOrEqual" allowBlank="1" showErrorMessage="1" errorTitle="Mensagem de Erro" error="F não pode ser Superior a MF" sqref="V44">
      <formula1>U44</formula1>
    </dataValidation>
    <dataValidation type="whole" operator="lessThanOrEqual" allowBlank="1" showErrorMessage="1" errorTitle="Mensagem de Erro" error="F não pode ser Superior a MF" sqref="V45">
      <formula1>U45</formula1>
    </dataValidation>
    <dataValidation type="whole" operator="lessThanOrEqual" allowBlank="1" showErrorMessage="1" errorTitle="Mensagem de Erro" error="F não pode ser Superior a MF" sqref="V46">
      <formula1>U46</formula1>
    </dataValidation>
    <dataValidation type="whole" operator="lessThanOrEqual" allowBlank="1" showErrorMessage="1" errorTitle="Mensagem de Erro" error="F não pode ser Superior a MF" sqref="V47">
      <formula1>U47</formula1>
    </dataValidation>
    <dataValidation type="whole" operator="lessThanOrEqual" allowBlank="1" showErrorMessage="1" errorTitle="Mensagem de Erro" error="F não pode ser Superior a MF" sqref="V48">
      <formula1>U48</formula1>
    </dataValidation>
    <dataValidation type="whole" operator="lessThanOrEqual" allowBlank="1" showErrorMessage="1" errorTitle="Mensagem de Erro" error="F não pode ser Superior a MF" sqref="V49">
      <formula1>U49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06"/>
  <sheetViews>
    <sheetView workbookViewId="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2" width="22" customWidth="1"/>
    <col min="3" max="4" width="14" customWidth="1"/>
    <col min="5" max="16" width="13" customWidth="1"/>
  </cols>
  <sheetData>
    <row r="2" spans="1:16" x14ac:dyDescent="0.25">
      <c r="A2" s="16" t="s">
        <v>362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4" spans="1:1" x14ac:dyDescent="0.25">
      <c r="A4" s="27" t="s">
        <v>363</v>
      </c>
    </row>
    <row r="5" spans="1:16" x14ac:dyDescent="0.25">
      <c r="A5" s="19" t="s">
        <v>168</v>
      </c>
      <c r="B5" s="19" t="s">
        <v>364</v>
      </c>
      <c r="C5" s="19" t="s">
        <v>365</v>
      </c>
      <c r="D5" s="19"/>
      <c r="E5" s="19" t="s">
        <v>62</v>
      </c>
      <c r="F5" s="19"/>
      <c r="G5" s="19" t="s">
        <v>60</v>
      </c>
      <c r="H5" s="19"/>
      <c r="I5" s="19" t="s">
        <v>366</v>
      </c>
      <c r="J5" s="19"/>
      <c r="K5" s="19" t="s">
        <v>61</v>
      </c>
      <c r="L5" s="19"/>
      <c r="M5" s="19" t="s">
        <v>367</v>
      </c>
      <c r="N5" s="19"/>
      <c r="O5" s="19" t="s">
        <v>368</v>
      </c>
      <c r="P5" s="19"/>
    </row>
    <row r="6" spans="1:16" x14ac:dyDescent="0.25">
      <c r="A6" s="19"/>
      <c r="B6" s="19"/>
      <c r="C6" s="19" t="s">
        <v>33</v>
      </c>
      <c r="D6" s="19" t="s">
        <v>34</v>
      </c>
      <c r="E6" s="19" t="s">
        <v>35</v>
      </c>
      <c r="F6" s="19" t="s">
        <v>36</v>
      </c>
      <c r="G6" s="19" t="s">
        <v>35</v>
      </c>
      <c r="H6" s="19" t="s">
        <v>36</v>
      </c>
      <c r="I6" s="19" t="s">
        <v>35</v>
      </c>
      <c r="J6" s="19" t="s">
        <v>36</v>
      </c>
      <c r="K6" s="19" t="s">
        <v>35</v>
      </c>
      <c r="L6" s="19" t="s">
        <v>36</v>
      </c>
      <c r="M6" s="19" t="s">
        <v>35</v>
      </c>
      <c r="N6" s="19" t="s">
        <v>36</v>
      </c>
      <c r="O6" s="19" t="s">
        <v>35</v>
      </c>
      <c r="P6" s="19" t="s">
        <v>36</v>
      </c>
    </row>
    <row r="7" spans="1:16" x14ac:dyDescent="0.25">
      <c r="A7" s="20" t="s">
        <v>38</v>
      </c>
      <c r="B7" s="20" t="s">
        <v>330</v>
      </c>
      <c r="C7" s="21">
        <f>SUM(E7,G7,I7,K7,M7,O7)</f>
      </c>
      <c r="D7" s="21">
        <f>SUM(F7,H7,J7,L7,N7,P7)</f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</row>
    <row r="8" spans="1:16" x14ac:dyDescent="0.25">
      <c r="A8" s="20" t="s">
        <v>39</v>
      </c>
      <c r="B8" s="20" t="s">
        <v>330</v>
      </c>
      <c r="C8" s="21">
        <f>SUM(E8,G8,I8,K8,M8,O8)</f>
      </c>
      <c r="D8" s="21">
        <f>SUM(F8,H8,J8,L8,N8,P8)</f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</row>
    <row r="9" spans="1:16" x14ac:dyDescent="0.25">
      <c r="A9" s="20" t="s">
        <v>40</v>
      </c>
      <c r="B9" s="20" t="s">
        <v>330</v>
      </c>
      <c r="C9" s="21">
        <f>SUM(E9,G9,I9,K9,M9,O9)</f>
      </c>
      <c r="D9" s="21">
        <f>SUM(F9,H9,J9,L9,N9,P9)</f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</row>
    <row r="10" spans="1:16" x14ac:dyDescent="0.25">
      <c r="A10" s="23" t="s">
        <v>17</v>
      </c>
      <c r="B10" s="23" t="s">
        <v>330</v>
      </c>
      <c r="C10" s="24">
        <f>SUM(C7:C9)</f>
      </c>
      <c r="D10" s="24">
        <f>SUM(D7:D9)</f>
      </c>
      <c r="E10" s="24">
        <f>SUM(E7:E9)</f>
      </c>
      <c r="F10" s="24">
        <f>SUM(F7:F9)</f>
      </c>
      <c r="G10" s="24">
        <f>SUM(G7:G9)</f>
      </c>
      <c r="H10" s="24">
        <f>SUM(H7:H9)</f>
      </c>
      <c r="I10" s="24">
        <f>SUM(I7:I9)</f>
      </c>
      <c r="J10" s="24">
        <f>SUM(J7:J9)</f>
      </c>
      <c r="K10" s="24">
        <f>SUM(K7:K9)</f>
      </c>
      <c r="L10" s="24">
        <f>SUM(L7:L9)</f>
      </c>
      <c r="M10" s="24">
        <f>SUM(M7:M9)</f>
      </c>
      <c r="N10" s="24">
        <f>SUM(N7:N9)</f>
      </c>
      <c r="O10" s="24">
        <f>SUM(O7:O9)</f>
      </c>
      <c r="P10" s="24">
        <f>SUM(P7:P9)</f>
      </c>
    </row>
    <row r="13" spans="1:1" x14ac:dyDescent="0.25">
      <c r="A13" s="27" t="s">
        <v>369</v>
      </c>
    </row>
    <row r="14" spans="1:16" x14ac:dyDescent="0.25">
      <c r="A14" s="19" t="s">
        <v>168</v>
      </c>
      <c r="B14" s="19" t="s">
        <v>364</v>
      </c>
      <c r="C14" s="19" t="s">
        <v>365</v>
      </c>
      <c r="D14" s="19"/>
      <c r="E14" s="19" t="s">
        <v>62</v>
      </c>
      <c r="F14" s="19"/>
      <c r="G14" s="19" t="s">
        <v>60</v>
      </c>
      <c r="H14" s="19"/>
      <c r="I14" s="19" t="s">
        <v>366</v>
      </c>
      <c r="J14" s="19"/>
      <c r="K14" s="19" t="s">
        <v>61</v>
      </c>
      <c r="L14" s="19"/>
      <c r="M14" s="19" t="s">
        <v>367</v>
      </c>
      <c r="N14" s="19"/>
      <c r="O14" s="19" t="s">
        <v>368</v>
      </c>
      <c r="P14" s="19"/>
    </row>
    <row r="15" spans="1:16" x14ac:dyDescent="0.25">
      <c r="A15" s="19"/>
      <c r="B15" s="19"/>
      <c r="C15" s="19" t="s">
        <v>33</v>
      </c>
      <c r="D15" s="19" t="s">
        <v>34</v>
      </c>
      <c r="E15" s="19" t="s">
        <v>35</v>
      </c>
      <c r="F15" s="19" t="s">
        <v>36</v>
      </c>
      <c r="G15" s="19" t="s">
        <v>35</v>
      </c>
      <c r="H15" s="19" t="s">
        <v>36</v>
      </c>
      <c r="I15" s="19" t="s">
        <v>35</v>
      </c>
      <c r="J15" s="19" t="s">
        <v>36</v>
      </c>
      <c r="K15" s="19" t="s">
        <v>35</v>
      </c>
      <c r="L15" s="19" t="s">
        <v>36</v>
      </c>
      <c r="M15" s="19" t="s">
        <v>35</v>
      </c>
      <c r="N15" s="19" t="s">
        <v>36</v>
      </c>
      <c r="O15" s="19" t="s">
        <v>35</v>
      </c>
      <c r="P15" s="19" t="s">
        <v>36</v>
      </c>
    </row>
    <row r="16" spans="1:16" x14ac:dyDescent="0.25">
      <c r="A16" s="20" t="s">
        <v>38</v>
      </c>
      <c r="B16" s="20" t="s">
        <v>72</v>
      </c>
      <c r="C16" s="21">
        <f>SUM(E16,G16,I16,K16,M16,O16)</f>
      </c>
      <c r="D16" s="21">
        <f>SUM(F16,H16,J16,L16,N16,P16)</f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</row>
    <row r="17" spans="1:16" x14ac:dyDescent="0.25">
      <c r="A17" s="20" t="s">
        <v>39</v>
      </c>
      <c r="B17" s="20" t="s">
        <v>72</v>
      </c>
      <c r="C17" s="21">
        <f>SUM(E17,G17,I17,K17,M17,O17)</f>
      </c>
      <c r="D17" s="21">
        <f>SUM(F17,H17,J17,L17,N17,P17)</f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</row>
    <row r="18" spans="1:16" x14ac:dyDescent="0.25">
      <c r="A18" s="20" t="s">
        <v>40</v>
      </c>
      <c r="B18" s="20" t="s">
        <v>72</v>
      </c>
      <c r="C18" s="21">
        <f>SUM(E18,G18,I18,K18,M18,O18)</f>
      </c>
      <c r="D18" s="21">
        <f>SUM(F18,H18,J18,L18,N18,P18)</f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</row>
    <row r="19" spans="1:16" x14ac:dyDescent="0.25">
      <c r="A19" s="23" t="s">
        <v>17</v>
      </c>
      <c r="B19" s="23" t="s">
        <v>72</v>
      </c>
      <c r="C19" s="24">
        <f>SUM(C16:C18)</f>
      </c>
      <c r="D19" s="24">
        <f>SUM(D16:D18)</f>
      </c>
      <c r="E19" s="24">
        <f>SUM(E16:E18)</f>
      </c>
      <c r="F19" s="24">
        <f>SUM(F16:F18)</f>
      </c>
      <c r="G19" s="24">
        <f>SUM(G16:G18)</f>
      </c>
      <c r="H19" s="24">
        <f>SUM(H16:H18)</f>
      </c>
      <c r="I19" s="24">
        <f>SUM(I16:I18)</f>
      </c>
      <c r="J19" s="24">
        <f>SUM(J16:J18)</f>
      </c>
      <c r="K19" s="24">
        <f>SUM(K16:K18)</f>
      </c>
      <c r="L19" s="24">
        <f>SUM(L16:L18)</f>
      </c>
      <c r="M19" s="24">
        <f>SUM(M16:M18)</f>
      </c>
      <c r="N19" s="24">
        <f>SUM(N16:N18)</f>
      </c>
      <c r="O19" s="24">
        <f>SUM(O16:O18)</f>
      </c>
      <c r="P19" s="24">
        <f>SUM(P16:P18)</f>
      </c>
    </row>
    <row r="22" spans="1:1" x14ac:dyDescent="0.25">
      <c r="A22" s="27" t="s">
        <v>370</v>
      </c>
    </row>
    <row r="23" spans="1:16" x14ac:dyDescent="0.25">
      <c r="A23" s="19" t="s">
        <v>168</v>
      </c>
      <c r="B23" s="19" t="s">
        <v>364</v>
      </c>
      <c r="C23" s="19" t="s">
        <v>365</v>
      </c>
      <c r="D23" s="19"/>
      <c r="E23" s="19" t="s">
        <v>62</v>
      </c>
      <c r="F23" s="19"/>
      <c r="G23" s="19" t="s">
        <v>60</v>
      </c>
      <c r="H23" s="19"/>
      <c r="I23" s="19" t="s">
        <v>366</v>
      </c>
      <c r="J23" s="19"/>
      <c r="K23" s="19" t="s">
        <v>61</v>
      </c>
      <c r="L23" s="19"/>
      <c r="M23" s="19" t="s">
        <v>367</v>
      </c>
      <c r="N23" s="19"/>
      <c r="O23" s="19" t="s">
        <v>368</v>
      </c>
      <c r="P23" s="19"/>
    </row>
    <row r="24" spans="1:16" x14ac:dyDescent="0.25">
      <c r="A24" s="19"/>
      <c r="B24" s="19"/>
      <c r="C24" s="19" t="s">
        <v>33</v>
      </c>
      <c r="D24" s="19" t="s">
        <v>34</v>
      </c>
      <c r="E24" s="19" t="s">
        <v>35</v>
      </c>
      <c r="F24" s="19" t="s">
        <v>36</v>
      </c>
      <c r="G24" s="19" t="s">
        <v>35</v>
      </c>
      <c r="H24" s="19" t="s">
        <v>36</v>
      </c>
      <c r="I24" s="19" t="s">
        <v>35</v>
      </c>
      <c r="J24" s="19" t="s">
        <v>36</v>
      </c>
      <c r="K24" s="19" t="s">
        <v>35</v>
      </c>
      <c r="L24" s="19" t="s">
        <v>36</v>
      </c>
      <c r="M24" s="19" t="s">
        <v>35</v>
      </c>
      <c r="N24" s="19" t="s">
        <v>36</v>
      </c>
      <c r="O24" s="19" t="s">
        <v>35</v>
      </c>
      <c r="P24" s="19" t="s">
        <v>36</v>
      </c>
    </row>
    <row r="25" spans="1:16" x14ac:dyDescent="0.25">
      <c r="A25" s="20" t="s">
        <v>38</v>
      </c>
      <c r="B25" s="20" t="s">
        <v>92</v>
      </c>
      <c r="C25" s="21">
        <f>SUM(E25,G25,I25,K25,M25,O25)</f>
      </c>
      <c r="D25" s="21">
        <f>SUM(F25,H25,J25,L25,N25,P25)</f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</row>
    <row r="26" spans="1:16" x14ac:dyDescent="0.25">
      <c r="A26" s="20" t="s">
        <v>39</v>
      </c>
      <c r="B26" s="20" t="s">
        <v>92</v>
      </c>
      <c r="C26" s="21">
        <f>SUM(E26,G26,I26,K26,M26,O26)</f>
      </c>
      <c r="D26" s="21">
        <f>SUM(F26,H26,J26,L26,N26,P26)</f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</row>
    <row r="27" spans="1:16" x14ac:dyDescent="0.25">
      <c r="A27" s="20" t="s">
        <v>40</v>
      </c>
      <c r="B27" s="20" t="s">
        <v>92</v>
      </c>
      <c r="C27" s="21">
        <f>SUM(E27,G27,I27,K27,M27,O27)</f>
      </c>
      <c r="D27" s="21">
        <f>SUM(F27,H27,J27,L27,N27,P27)</f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</row>
    <row r="28" spans="1:16" x14ac:dyDescent="0.25">
      <c r="A28" s="23" t="s">
        <v>17</v>
      </c>
      <c r="B28" s="23" t="s">
        <v>92</v>
      </c>
      <c r="C28" s="24">
        <f>SUM(C25:C27)</f>
      </c>
      <c r="D28" s="24">
        <f>SUM(D25:D27)</f>
      </c>
      <c r="E28" s="24">
        <f>SUM(E25:E27)</f>
      </c>
      <c r="F28" s="24">
        <f>SUM(F25:F27)</f>
      </c>
      <c r="G28" s="24">
        <f>SUM(G25:G27)</f>
      </c>
      <c r="H28" s="24">
        <f>SUM(H25:H27)</f>
      </c>
      <c r="I28" s="24">
        <f>SUM(I25:I27)</f>
      </c>
      <c r="J28" s="24">
        <f>SUM(J25:J27)</f>
      </c>
      <c r="K28" s="24">
        <f>SUM(K25:K27)</f>
      </c>
      <c r="L28" s="24">
        <f>SUM(L25:L27)</f>
      </c>
      <c r="M28" s="24">
        <f>SUM(M25:M27)</f>
      </c>
      <c r="N28" s="24">
        <f>SUM(N25:N27)</f>
      </c>
      <c r="O28" s="24">
        <f>SUM(O25:O27)</f>
      </c>
      <c r="P28" s="24">
        <f>SUM(P25:P27)</f>
      </c>
    </row>
    <row r="31" spans="1:1" x14ac:dyDescent="0.25">
      <c r="A31" s="27" t="s">
        <v>371</v>
      </c>
    </row>
    <row r="32" spans="1:16" x14ac:dyDescent="0.25">
      <c r="A32" s="19" t="s">
        <v>168</v>
      </c>
      <c r="B32" s="19" t="s">
        <v>364</v>
      </c>
      <c r="C32" s="19" t="s">
        <v>365</v>
      </c>
      <c r="D32" s="19"/>
      <c r="E32" s="19" t="s">
        <v>62</v>
      </c>
      <c r="F32" s="19"/>
      <c r="G32" s="19" t="s">
        <v>60</v>
      </c>
      <c r="H32" s="19"/>
      <c r="I32" s="19" t="s">
        <v>366</v>
      </c>
      <c r="J32" s="19"/>
      <c r="K32" s="19" t="s">
        <v>61</v>
      </c>
      <c r="L32" s="19"/>
      <c r="M32" s="19" t="s">
        <v>367</v>
      </c>
      <c r="N32" s="19"/>
      <c r="O32" s="19" t="s">
        <v>368</v>
      </c>
      <c r="P32" s="19"/>
    </row>
    <row r="33" spans="1:16" x14ac:dyDescent="0.25">
      <c r="A33" s="19"/>
      <c r="B33" s="19"/>
      <c r="C33" s="19" t="s">
        <v>33</v>
      </c>
      <c r="D33" s="19" t="s">
        <v>34</v>
      </c>
      <c r="E33" s="19" t="s">
        <v>35</v>
      </c>
      <c r="F33" s="19" t="s">
        <v>36</v>
      </c>
      <c r="G33" s="19" t="s">
        <v>35</v>
      </c>
      <c r="H33" s="19" t="s">
        <v>36</v>
      </c>
      <c r="I33" s="19" t="s">
        <v>35</v>
      </c>
      <c r="J33" s="19" t="s">
        <v>36</v>
      </c>
      <c r="K33" s="19" t="s">
        <v>35</v>
      </c>
      <c r="L33" s="19" t="s">
        <v>36</v>
      </c>
      <c r="M33" s="19" t="s">
        <v>35</v>
      </c>
      <c r="N33" s="19" t="s">
        <v>36</v>
      </c>
      <c r="O33" s="19" t="s">
        <v>35</v>
      </c>
      <c r="P33" s="19" t="s">
        <v>36</v>
      </c>
    </row>
    <row r="34" spans="1:16" x14ac:dyDescent="0.25">
      <c r="A34" s="20" t="s">
        <v>38</v>
      </c>
      <c r="B34" s="20" t="s">
        <v>155</v>
      </c>
      <c r="C34" s="21">
        <f>SUM(E34,G34,I34,K34,M34,O34)</f>
      </c>
      <c r="D34" s="21">
        <f>SUM(F34,H34,J34,L34,N34,P34)</f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</row>
    <row r="35" spans="1:16" x14ac:dyDescent="0.25">
      <c r="A35" s="20" t="s">
        <v>39</v>
      </c>
      <c r="B35" s="20" t="s">
        <v>155</v>
      </c>
      <c r="C35" s="21">
        <f>SUM(E35,G35,I35,K35,M35,O35)</f>
      </c>
      <c r="D35" s="21">
        <f>SUM(F35,H35,J35,L35,N35,P35)</f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</row>
    <row r="36" spans="1:16" x14ac:dyDescent="0.25">
      <c r="A36" s="20" t="s">
        <v>40</v>
      </c>
      <c r="B36" s="20" t="s">
        <v>155</v>
      </c>
      <c r="C36" s="21">
        <f>SUM(E36,G36,I36,K36,M36,O36)</f>
      </c>
      <c r="D36" s="21">
        <f>SUM(F36,H36,J36,L36,N36,P36)</f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</row>
    <row r="37" spans="1:16" x14ac:dyDescent="0.25">
      <c r="A37" s="23" t="s">
        <v>17</v>
      </c>
      <c r="B37" s="23" t="s">
        <v>155</v>
      </c>
      <c r="C37" s="24">
        <f>SUM(C34:C36)</f>
      </c>
      <c r="D37" s="24">
        <f>SUM(D34:D36)</f>
      </c>
      <c r="E37" s="24">
        <f>SUM(E34:E36)</f>
      </c>
      <c r="F37" s="24">
        <f>SUM(F34:F36)</f>
      </c>
      <c r="G37" s="24">
        <f>SUM(G34:G36)</f>
      </c>
      <c r="H37" s="24">
        <f>SUM(H34:H36)</f>
      </c>
      <c r="I37" s="24">
        <f>SUM(I34:I36)</f>
      </c>
      <c r="J37" s="24">
        <f>SUM(J34:J36)</f>
      </c>
      <c r="K37" s="24">
        <f>SUM(K34:K36)</f>
      </c>
      <c r="L37" s="24">
        <f>SUM(L34:L36)</f>
      </c>
      <c r="M37" s="24">
        <f>SUM(M34:M36)</f>
      </c>
      <c r="N37" s="24">
        <f>SUM(N34:N36)</f>
      </c>
      <c r="O37" s="24">
        <f>SUM(O34:O36)</f>
      </c>
      <c r="P37" s="24">
        <f>SUM(P34:P36)</f>
      </c>
    </row>
    <row r="40" spans="1:1" x14ac:dyDescent="0.25">
      <c r="A40" s="27" t="s">
        <v>372</v>
      </c>
    </row>
    <row r="41" spans="1:16" x14ac:dyDescent="0.25">
      <c r="A41" s="19" t="s">
        <v>168</v>
      </c>
      <c r="B41" s="19" t="s">
        <v>364</v>
      </c>
      <c r="C41" s="19" t="s">
        <v>365</v>
      </c>
      <c r="D41" s="19"/>
      <c r="E41" s="19" t="s">
        <v>62</v>
      </c>
      <c r="F41" s="19"/>
      <c r="G41" s="19" t="s">
        <v>60</v>
      </c>
      <c r="H41" s="19"/>
      <c r="I41" s="19" t="s">
        <v>366</v>
      </c>
      <c r="J41" s="19"/>
      <c r="K41" s="19" t="s">
        <v>61</v>
      </c>
      <c r="L41" s="19"/>
      <c r="M41" s="19" t="s">
        <v>367</v>
      </c>
      <c r="N41" s="19"/>
      <c r="O41" s="19" t="s">
        <v>368</v>
      </c>
      <c r="P41" s="19"/>
    </row>
    <row r="42" spans="1:16" x14ac:dyDescent="0.25">
      <c r="A42" s="19"/>
      <c r="B42" s="19"/>
      <c r="C42" s="19" t="s">
        <v>33</v>
      </c>
      <c r="D42" s="19" t="s">
        <v>34</v>
      </c>
      <c r="E42" s="19" t="s">
        <v>35</v>
      </c>
      <c r="F42" s="19" t="s">
        <v>36</v>
      </c>
      <c r="G42" s="19" t="s">
        <v>35</v>
      </c>
      <c r="H42" s="19" t="s">
        <v>36</v>
      </c>
      <c r="I42" s="19" t="s">
        <v>35</v>
      </c>
      <c r="J42" s="19" t="s">
        <v>36</v>
      </c>
      <c r="K42" s="19" t="s">
        <v>35</v>
      </c>
      <c r="L42" s="19" t="s">
        <v>36</v>
      </c>
      <c r="M42" s="19" t="s">
        <v>35</v>
      </c>
      <c r="N42" s="19" t="s">
        <v>36</v>
      </c>
      <c r="O42" s="19" t="s">
        <v>35</v>
      </c>
      <c r="P42" s="19" t="s">
        <v>36</v>
      </c>
    </row>
    <row r="43" spans="1:16" x14ac:dyDescent="0.25">
      <c r="A43" s="20" t="s">
        <v>38</v>
      </c>
      <c r="B43" s="20" t="s">
        <v>373</v>
      </c>
      <c r="C43" s="21">
        <f>SUM(E43,G43,I43,K43,M43,O43)</f>
      </c>
      <c r="D43" s="21">
        <f>SUM(F43,H43,J43,L43,N43,P43)</f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</row>
    <row r="44" spans="1:16" x14ac:dyDescent="0.25">
      <c r="A44" s="20" t="s">
        <v>39</v>
      </c>
      <c r="B44" s="20" t="s">
        <v>373</v>
      </c>
      <c r="C44" s="21">
        <f>SUM(E44,G44,I44,K44,M44,O44)</f>
      </c>
      <c r="D44" s="21">
        <f>SUM(F44,H44,J44,L44,N44,P44)</f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</row>
    <row r="45" spans="1:16" x14ac:dyDescent="0.25">
      <c r="A45" s="20" t="s">
        <v>40</v>
      </c>
      <c r="B45" s="20" t="s">
        <v>373</v>
      </c>
      <c r="C45" s="21">
        <f>SUM(E45,G45,I45,K45,M45,O45)</f>
      </c>
      <c r="D45" s="21">
        <f>SUM(F45,H45,J45,L45,N45,P45)</f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</row>
    <row r="46" spans="1:16" x14ac:dyDescent="0.25">
      <c r="A46" s="23" t="s">
        <v>17</v>
      </c>
      <c r="B46" s="23" t="s">
        <v>373</v>
      </c>
      <c r="C46" s="24">
        <f>SUM(C43:C45)</f>
      </c>
      <c r="D46" s="24">
        <f>SUM(D43:D45)</f>
      </c>
      <c r="E46" s="24">
        <f>SUM(E43:E45)</f>
      </c>
      <c r="F46" s="24">
        <f>SUM(F43:F45)</f>
      </c>
      <c r="G46" s="24">
        <f>SUM(G43:G45)</f>
      </c>
      <c r="H46" s="24">
        <f>SUM(H43:H45)</f>
      </c>
      <c r="I46" s="24">
        <f>SUM(I43:I45)</f>
      </c>
      <c r="J46" s="24">
        <f>SUM(J43:J45)</f>
      </c>
      <c r="K46" s="24">
        <f>SUM(K43:K45)</f>
      </c>
      <c r="L46" s="24">
        <f>SUM(L43:L45)</f>
      </c>
      <c r="M46" s="24">
        <f>SUM(M43:M45)</f>
      </c>
      <c r="N46" s="24">
        <f>SUM(N43:N45)</f>
      </c>
      <c r="O46" s="24">
        <f>SUM(O43:O45)</f>
      </c>
      <c r="P46" s="24">
        <f>SUM(P43:P45)</f>
      </c>
    </row>
    <row r="49" spans="1:1" x14ac:dyDescent="0.25">
      <c r="A49" s="27" t="s">
        <v>374</v>
      </c>
    </row>
    <row r="50" spans="1:16" x14ac:dyDescent="0.25">
      <c r="A50" s="19" t="s">
        <v>168</v>
      </c>
      <c r="B50" s="19" t="s">
        <v>364</v>
      </c>
      <c r="C50" s="19" t="s">
        <v>365</v>
      </c>
      <c r="D50" s="19"/>
      <c r="E50" s="19" t="s">
        <v>62</v>
      </c>
      <c r="F50" s="19"/>
      <c r="G50" s="19" t="s">
        <v>60</v>
      </c>
      <c r="H50" s="19"/>
      <c r="I50" s="19" t="s">
        <v>366</v>
      </c>
      <c r="J50" s="19"/>
      <c r="K50" s="19" t="s">
        <v>61</v>
      </c>
      <c r="L50" s="19"/>
      <c r="M50" s="19" t="s">
        <v>367</v>
      </c>
      <c r="N50" s="19"/>
      <c r="O50" s="19" t="s">
        <v>368</v>
      </c>
      <c r="P50" s="19"/>
    </row>
    <row r="51" spans="1:16" x14ac:dyDescent="0.25">
      <c r="A51" s="19"/>
      <c r="B51" s="19"/>
      <c r="C51" s="19" t="s">
        <v>33</v>
      </c>
      <c r="D51" s="19" t="s">
        <v>34</v>
      </c>
      <c r="E51" s="19" t="s">
        <v>35</v>
      </c>
      <c r="F51" s="19" t="s">
        <v>36</v>
      </c>
      <c r="G51" s="19" t="s">
        <v>35</v>
      </c>
      <c r="H51" s="19" t="s">
        <v>36</v>
      </c>
      <c r="I51" s="19" t="s">
        <v>35</v>
      </c>
      <c r="J51" s="19" t="s">
        <v>36</v>
      </c>
      <c r="K51" s="19" t="s">
        <v>35</v>
      </c>
      <c r="L51" s="19" t="s">
        <v>36</v>
      </c>
      <c r="M51" s="19" t="s">
        <v>35</v>
      </c>
      <c r="N51" s="19" t="s">
        <v>36</v>
      </c>
      <c r="O51" s="19" t="s">
        <v>35</v>
      </c>
      <c r="P51" s="19" t="s">
        <v>36</v>
      </c>
    </row>
    <row r="52" spans="1:16" x14ac:dyDescent="0.25">
      <c r="A52" s="20" t="s">
        <v>38</v>
      </c>
      <c r="B52" s="20" t="s">
        <v>375</v>
      </c>
      <c r="C52" s="21">
        <f>SUM(E52,G52,I52,K52,M52,O52)</f>
      </c>
      <c r="D52" s="21">
        <f>SUM(F52,H52,J52,L52,N52,P52)</f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</row>
    <row r="53" spans="1:16" x14ac:dyDescent="0.25">
      <c r="A53" s="20" t="s">
        <v>39</v>
      </c>
      <c r="B53" s="20" t="s">
        <v>375</v>
      </c>
      <c r="C53" s="21">
        <f>SUM(E53,G53,I53,K53,M53,O53)</f>
      </c>
      <c r="D53" s="21">
        <f>SUM(F53,H53,J53,L53,N53,P53)</f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</row>
    <row r="54" spans="1:16" x14ac:dyDescent="0.25">
      <c r="A54" s="20" t="s">
        <v>40</v>
      </c>
      <c r="B54" s="20" t="s">
        <v>375</v>
      </c>
      <c r="C54" s="21">
        <f>SUM(E54,G54,I54,K54,M54,O54)</f>
      </c>
      <c r="D54" s="21">
        <f>SUM(F54,H54,J54,L54,N54,P54)</f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</row>
    <row r="55" spans="1:16" x14ac:dyDescent="0.25">
      <c r="A55" s="23" t="s">
        <v>17</v>
      </c>
      <c r="B55" s="23" t="s">
        <v>375</v>
      </c>
      <c r="C55" s="24">
        <f>SUM(C52:C54)</f>
      </c>
      <c r="D55" s="24">
        <f>SUM(D52:D54)</f>
      </c>
      <c r="E55" s="24">
        <f>SUM(E52:E54)</f>
      </c>
      <c r="F55" s="24">
        <f>SUM(F52:F54)</f>
      </c>
      <c r="G55" s="24">
        <f>SUM(G52:G54)</f>
      </c>
      <c r="H55" s="24">
        <f>SUM(H52:H54)</f>
      </c>
      <c r="I55" s="24">
        <f>SUM(I52:I54)</f>
      </c>
      <c r="J55" s="24">
        <f>SUM(J52:J54)</f>
      </c>
      <c r="K55" s="24">
        <f>SUM(K52:K54)</f>
      </c>
      <c r="L55" s="24">
        <f>SUM(L52:L54)</f>
      </c>
      <c r="M55" s="24">
        <f>SUM(M52:M54)</f>
      </c>
      <c r="N55" s="24">
        <f>SUM(N52:N54)</f>
      </c>
      <c r="O55" s="24">
        <f>SUM(O52:O54)</f>
      </c>
      <c r="P55" s="24">
        <f>SUM(P52:P54)</f>
      </c>
    </row>
    <row r="58" spans="1:1" x14ac:dyDescent="0.25">
      <c r="A58" s="27" t="s">
        <v>376</v>
      </c>
    </row>
    <row r="59" spans="1:16" x14ac:dyDescent="0.25">
      <c r="A59" s="19" t="s">
        <v>168</v>
      </c>
      <c r="B59" s="19" t="s">
        <v>364</v>
      </c>
      <c r="C59" s="19" t="s">
        <v>365</v>
      </c>
      <c r="D59" s="19"/>
      <c r="E59" s="19" t="s">
        <v>62</v>
      </c>
      <c r="F59" s="19"/>
      <c r="G59" s="19" t="s">
        <v>60</v>
      </c>
      <c r="H59" s="19"/>
      <c r="I59" s="19" t="s">
        <v>366</v>
      </c>
      <c r="J59" s="19"/>
      <c r="K59" s="19" t="s">
        <v>61</v>
      </c>
      <c r="L59" s="19"/>
      <c r="M59" s="19" t="s">
        <v>367</v>
      </c>
      <c r="N59" s="19"/>
      <c r="O59" s="19" t="s">
        <v>368</v>
      </c>
      <c r="P59" s="19"/>
    </row>
    <row r="60" spans="1:16" x14ac:dyDescent="0.25">
      <c r="A60" s="19"/>
      <c r="B60" s="19"/>
      <c r="C60" s="19" t="s">
        <v>33</v>
      </c>
      <c r="D60" s="19" t="s">
        <v>34</v>
      </c>
      <c r="E60" s="19" t="s">
        <v>35</v>
      </c>
      <c r="F60" s="19" t="s">
        <v>36</v>
      </c>
      <c r="G60" s="19" t="s">
        <v>35</v>
      </c>
      <c r="H60" s="19" t="s">
        <v>36</v>
      </c>
      <c r="I60" s="19" t="s">
        <v>35</v>
      </c>
      <c r="J60" s="19" t="s">
        <v>36</v>
      </c>
      <c r="K60" s="19" t="s">
        <v>35</v>
      </c>
      <c r="L60" s="19" t="s">
        <v>36</v>
      </c>
      <c r="M60" s="19" t="s">
        <v>35</v>
      </c>
      <c r="N60" s="19" t="s">
        <v>36</v>
      </c>
      <c r="O60" s="19" t="s">
        <v>35</v>
      </c>
      <c r="P60" s="19" t="s">
        <v>36</v>
      </c>
    </row>
    <row r="61" spans="1:16" x14ac:dyDescent="0.25">
      <c r="A61" s="20" t="s">
        <v>38</v>
      </c>
      <c r="B61" s="20" t="s">
        <v>159</v>
      </c>
      <c r="C61" s="21">
        <f>SUM(E61,G61,I61,K61,M61,O61)</f>
      </c>
      <c r="D61" s="21">
        <f>SUM(F61,H61,J61,L61,N61,P61)</f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</row>
    <row r="62" spans="1:16" x14ac:dyDescent="0.25">
      <c r="A62" s="20" t="s">
        <v>39</v>
      </c>
      <c r="B62" s="20" t="s">
        <v>159</v>
      </c>
      <c r="C62" s="21">
        <f>SUM(E62,G62,I62,K62,M62,O62)</f>
      </c>
      <c r="D62" s="21">
        <f>SUM(F62,H62,J62,L62,N62,P62)</f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</row>
    <row r="63" spans="1:16" x14ac:dyDescent="0.25">
      <c r="A63" s="20" t="s">
        <v>40</v>
      </c>
      <c r="B63" s="20" t="s">
        <v>159</v>
      </c>
      <c r="C63" s="21">
        <f>SUM(E63,G63,I63,K63,M63,O63)</f>
      </c>
      <c r="D63" s="21">
        <f>SUM(F63,H63,J63,L63,N63,P63)</f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</row>
    <row r="64" spans="1:16" x14ac:dyDescent="0.25">
      <c r="A64" s="23" t="s">
        <v>17</v>
      </c>
      <c r="B64" s="23" t="s">
        <v>159</v>
      </c>
      <c r="C64" s="24">
        <f>SUM(C61:C63)</f>
      </c>
      <c r="D64" s="24">
        <f>SUM(D61:D63)</f>
      </c>
      <c r="E64" s="24">
        <f>SUM(E61:E63)</f>
      </c>
      <c r="F64" s="24">
        <f>SUM(F61:F63)</f>
      </c>
      <c r="G64" s="24">
        <f>SUM(G61:G63)</f>
      </c>
      <c r="H64" s="24">
        <f>SUM(H61:H63)</f>
      </c>
      <c r="I64" s="24">
        <f>SUM(I61:I63)</f>
      </c>
      <c r="J64" s="24">
        <f>SUM(J61:J63)</f>
      </c>
      <c r="K64" s="24">
        <f>SUM(K61:K63)</f>
      </c>
      <c r="L64" s="24">
        <f>SUM(L61:L63)</f>
      </c>
      <c r="M64" s="24">
        <f>SUM(M61:M63)</f>
      </c>
      <c r="N64" s="24">
        <f>SUM(N61:N63)</f>
      </c>
      <c r="O64" s="24">
        <f>SUM(O61:O63)</f>
      </c>
      <c r="P64" s="24">
        <f>SUM(P61:P63)</f>
      </c>
    </row>
    <row r="67" spans="1:1" x14ac:dyDescent="0.25">
      <c r="A67" s="27" t="s">
        <v>377</v>
      </c>
    </row>
    <row r="68" spans="1:16" x14ac:dyDescent="0.25">
      <c r="A68" s="19" t="s">
        <v>168</v>
      </c>
      <c r="B68" s="19" t="s">
        <v>364</v>
      </c>
      <c r="C68" s="19" t="s">
        <v>365</v>
      </c>
      <c r="D68" s="19"/>
      <c r="E68" s="19" t="s">
        <v>62</v>
      </c>
      <c r="F68" s="19"/>
      <c r="G68" s="19" t="s">
        <v>60</v>
      </c>
      <c r="H68" s="19"/>
      <c r="I68" s="19" t="s">
        <v>366</v>
      </c>
      <c r="J68" s="19"/>
      <c r="K68" s="19" t="s">
        <v>61</v>
      </c>
      <c r="L68" s="19"/>
      <c r="M68" s="19" t="s">
        <v>367</v>
      </c>
      <c r="N68" s="19"/>
      <c r="O68" s="19" t="s">
        <v>368</v>
      </c>
      <c r="P68" s="19"/>
    </row>
    <row r="69" spans="1:16" x14ac:dyDescent="0.25">
      <c r="A69" s="19"/>
      <c r="B69" s="19"/>
      <c r="C69" s="19" t="s">
        <v>33</v>
      </c>
      <c r="D69" s="19" t="s">
        <v>34</v>
      </c>
      <c r="E69" s="19" t="s">
        <v>35</v>
      </c>
      <c r="F69" s="19" t="s">
        <v>36</v>
      </c>
      <c r="G69" s="19" t="s">
        <v>35</v>
      </c>
      <c r="H69" s="19" t="s">
        <v>36</v>
      </c>
      <c r="I69" s="19" t="s">
        <v>35</v>
      </c>
      <c r="J69" s="19" t="s">
        <v>36</v>
      </c>
      <c r="K69" s="19" t="s">
        <v>35</v>
      </c>
      <c r="L69" s="19" t="s">
        <v>36</v>
      </c>
      <c r="M69" s="19" t="s">
        <v>35</v>
      </c>
      <c r="N69" s="19" t="s">
        <v>36</v>
      </c>
      <c r="O69" s="19" t="s">
        <v>35</v>
      </c>
      <c r="P69" s="19" t="s">
        <v>36</v>
      </c>
    </row>
    <row r="70" spans="1:16" x14ac:dyDescent="0.25">
      <c r="A70" s="20" t="s">
        <v>38</v>
      </c>
      <c r="B70" s="20" t="s">
        <v>378</v>
      </c>
      <c r="C70" s="21">
        <f>SUM(E70,G70,I70,K70,M70,O70)</f>
      </c>
      <c r="D70" s="21">
        <f>SUM(F70,H70,J70,L70,N70,P70)</f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</row>
    <row r="71" spans="1:16" x14ac:dyDescent="0.25">
      <c r="A71" s="20" t="s">
        <v>39</v>
      </c>
      <c r="B71" s="20" t="s">
        <v>378</v>
      </c>
      <c r="C71" s="21">
        <f>SUM(E71,G71,I71,K71,M71,O71)</f>
      </c>
      <c r="D71" s="21">
        <f>SUM(F71,H71,J71,L71,N71,P71)</f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</row>
    <row r="72" spans="1:16" x14ac:dyDescent="0.25">
      <c r="A72" s="20" t="s">
        <v>40</v>
      </c>
      <c r="B72" s="20" t="s">
        <v>378</v>
      </c>
      <c r="C72" s="21">
        <f>SUM(E72,G72,I72,K72,M72,O72)</f>
      </c>
      <c r="D72" s="21">
        <f>SUM(F72,H72,J72,L72,N72,P72)</f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</row>
    <row r="73" spans="1:16" x14ac:dyDescent="0.25">
      <c r="A73" s="23" t="s">
        <v>17</v>
      </c>
      <c r="B73" s="23" t="s">
        <v>378</v>
      </c>
      <c r="C73" s="24">
        <f>SUM(C70:C72)</f>
      </c>
      <c r="D73" s="24">
        <f>SUM(D70:D72)</f>
      </c>
      <c r="E73" s="24">
        <f>SUM(E70:E72)</f>
      </c>
      <c r="F73" s="24">
        <f>SUM(F70:F72)</f>
      </c>
      <c r="G73" s="24">
        <f>SUM(G70:G72)</f>
      </c>
      <c r="H73" s="24">
        <f>SUM(H70:H72)</f>
      </c>
      <c r="I73" s="24">
        <f>SUM(I70:I72)</f>
      </c>
      <c r="J73" s="24">
        <f>SUM(J70:J72)</f>
      </c>
      <c r="K73" s="24">
        <f>SUM(K70:K72)</f>
      </c>
      <c r="L73" s="24">
        <f>SUM(L70:L72)</f>
      </c>
      <c r="M73" s="24">
        <f>SUM(M70:M72)</f>
      </c>
      <c r="N73" s="24">
        <f>SUM(N70:N72)</f>
      </c>
      <c r="O73" s="24">
        <f>SUM(O70:O72)</f>
      </c>
      <c r="P73" s="24">
        <f>SUM(P70:P72)</f>
      </c>
    </row>
    <row r="76" spans="1:1" x14ac:dyDescent="0.25">
      <c r="A76" s="27" t="s">
        <v>379</v>
      </c>
    </row>
    <row r="77" spans="1:16" x14ac:dyDescent="0.25">
      <c r="A77" s="19" t="s">
        <v>168</v>
      </c>
      <c r="B77" s="19" t="s">
        <v>364</v>
      </c>
      <c r="C77" s="19" t="s">
        <v>365</v>
      </c>
      <c r="D77" s="19"/>
      <c r="E77" s="19" t="s">
        <v>62</v>
      </c>
      <c r="F77" s="19"/>
      <c r="G77" s="19" t="s">
        <v>60</v>
      </c>
      <c r="H77" s="19"/>
      <c r="I77" s="19" t="s">
        <v>366</v>
      </c>
      <c r="J77" s="19"/>
      <c r="K77" s="19" t="s">
        <v>61</v>
      </c>
      <c r="L77" s="19"/>
      <c r="M77" s="19" t="s">
        <v>367</v>
      </c>
      <c r="N77" s="19"/>
      <c r="O77" s="19" t="s">
        <v>368</v>
      </c>
      <c r="P77" s="19"/>
    </row>
    <row r="78" spans="1:16" x14ac:dyDescent="0.25">
      <c r="A78" s="19"/>
      <c r="B78" s="19"/>
      <c r="C78" s="19" t="s">
        <v>33</v>
      </c>
      <c r="D78" s="19" t="s">
        <v>34</v>
      </c>
      <c r="E78" s="19" t="s">
        <v>35</v>
      </c>
      <c r="F78" s="19" t="s">
        <v>36</v>
      </c>
      <c r="G78" s="19" t="s">
        <v>35</v>
      </c>
      <c r="H78" s="19" t="s">
        <v>36</v>
      </c>
      <c r="I78" s="19" t="s">
        <v>35</v>
      </c>
      <c r="J78" s="19" t="s">
        <v>36</v>
      </c>
      <c r="K78" s="19" t="s">
        <v>35</v>
      </c>
      <c r="L78" s="19" t="s">
        <v>36</v>
      </c>
      <c r="M78" s="19" t="s">
        <v>35</v>
      </c>
      <c r="N78" s="19" t="s">
        <v>36</v>
      </c>
      <c r="O78" s="19" t="s">
        <v>35</v>
      </c>
      <c r="P78" s="19" t="s">
        <v>36</v>
      </c>
    </row>
    <row r="79" spans="1:16" x14ac:dyDescent="0.25">
      <c r="A79" s="20" t="s">
        <v>38</v>
      </c>
      <c r="B79" s="20" t="s">
        <v>380</v>
      </c>
      <c r="C79" s="21">
        <f>SUM(E79,G79,I79,K79,M79,O79)</f>
      </c>
      <c r="D79" s="21">
        <f>SUM(F79,H79,J79,L79,N79,P79)</f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</row>
    <row r="80" spans="1:16" x14ac:dyDescent="0.25">
      <c r="A80" s="20" t="s">
        <v>39</v>
      </c>
      <c r="B80" s="20" t="s">
        <v>380</v>
      </c>
      <c r="C80" s="21">
        <f>SUM(E80,G80,I80,K80,M80,O80)</f>
      </c>
      <c r="D80" s="21">
        <f>SUM(F80,H80,J80,L80,N80,P80)</f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</row>
    <row r="81" spans="1:16" x14ac:dyDescent="0.25">
      <c r="A81" s="20" t="s">
        <v>40</v>
      </c>
      <c r="B81" s="20" t="s">
        <v>380</v>
      </c>
      <c r="C81" s="21">
        <f>SUM(E81,G81,I81,K81,M81,O81)</f>
      </c>
      <c r="D81" s="21">
        <f>SUM(F81,H81,J81,L81,N81,P81)</f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</row>
    <row r="82" spans="1:16" x14ac:dyDescent="0.25">
      <c r="A82" s="23" t="s">
        <v>17</v>
      </c>
      <c r="B82" s="23" t="s">
        <v>380</v>
      </c>
      <c r="C82" s="24">
        <f>SUM(C79:C81)</f>
      </c>
      <c r="D82" s="24">
        <f>SUM(D79:D81)</f>
      </c>
      <c r="E82" s="24">
        <f>SUM(E79:E81)</f>
      </c>
      <c r="F82" s="24">
        <f>SUM(F79:F81)</f>
      </c>
      <c r="G82" s="24">
        <f>SUM(G79:G81)</f>
      </c>
      <c r="H82" s="24">
        <f>SUM(H79:H81)</f>
      </c>
      <c r="I82" s="24">
        <f>SUM(I79:I81)</f>
      </c>
      <c r="J82" s="24">
        <f>SUM(J79:J81)</f>
      </c>
      <c r="K82" s="24">
        <f>SUM(K79:K81)</f>
      </c>
      <c r="L82" s="24">
        <f>SUM(L79:L81)</f>
      </c>
      <c r="M82" s="24">
        <f>SUM(M79:M81)</f>
      </c>
      <c r="N82" s="24">
        <f>SUM(N79:N81)</f>
      </c>
      <c r="O82" s="24">
        <f>SUM(O79:O81)</f>
      </c>
      <c r="P82" s="24">
        <f>SUM(P79:P81)</f>
      </c>
    </row>
    <row r="85" spans="1:1" x14ac:dyDescent="0.25">
      <c r="A85" s="27" t="s">
        <v>381</v>
      </c>
    </row>
    <row r="86" spans="1:16" x14ac:dyDescent="0.25">
      <c r="A86" s="19" t="s">
        <v>168</v>
      </c>
      <c r="B86" s="19" t="s">
        <v>364</v>
      </c>
      <c r="C86" s="19" t="s">
        <v>365</v>
      </c>
      <c r="D86" s="19"/>
      <c r="E86" s="19" t="s">
        <v>62</v>
      </c>
      <c r="F86" s="19"/>
      <c r="G86" s="19" t="s">
        <v>60</v>
      </c>
      <c r="H86" s="19"/>
      <c r="I86" s="19" t="s">
        <v>366</v>
      </c>
      <c r="J86" s="19"/>
      <c r="K86" s="19" t="s">
        <v>61</v>
      </c>
      <c r="L86" s="19"/>
      <c r="M86" s="19" t="s">
        <v>367</v>
      </c>
      <c r="N86" s="19"/>
      <c r="O86" s="19" t="s">
        <v>368</v>
      </c>
      <c r="P86" s="19"/>
    </row>
    <row r="87" spans="1:16" x14ac:dyDescent="0.25">
      <c r="A87" s="19"/>
      <c r="B87" s="19"/>
      <c r="C87" s="19" t="s">
        <v>33</v>
      </c>
      <c r="D87" s="19" t="s">
        <v>34</v>
      </c>
      <c r="E87" s="19" t="s">
        <v>35</v>
      </c>
      <c r="F87" s="19" t="s">
        <v>36</v>
      </c>
      <c r="G87" s="19" t="s">
        <v>35</v>
      </c>
      <c r="H87" s="19" t="s">
        <v>36</v>
      </c>
      <c r="I87" s="19" t="s">
        <v>35</v>
      </c>
      <c r="J87" s="19" t="s">
        <v>36</v>
      </c>
      <c r="K87" s="19" t="s">
        <v>35</v>
      </c>
      <c r="L87" s="19" t="s">
        <v>36</v>
      </c>
      <c r="M87" s="19" t="s">
        <v>35</v>
      </c>
      <c r="N87" s="19" t="s">
        <v>36</v>
      </c>
      <c r="O87" s="19" t="s">
        <v>35</v>
      </c>
      <c r="P87" s="19" t="s">
        <v>36</v>
      </c>
    </row>
    <row r="88" spans="1:16" x14ac:dyDescent="0.25">
      <c r="A88" s="20" t="s">
        <v>38</v>
      </c>
      <c r="B88" s="20" t="s">
        <v>382</v>
      </c>
      <c r="C88" s="21">
        <f>SUM(E88,G88,I88,K88,M88,O88)</f>
      </c>
      <c r="D88" s="21">
        <f>SUM(F88,H88,J88,L88,N88,P88)</f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0</v>
      </c>
      <c r="P88" s="22">
        <v>0</v>
      </c>
    </row>
    <row r="89" spans="1:16" x14ac:dyDescent="0.25">
      <c r="A89" s="20" t="s">
        <v>39</v>
      </c>
      <c r="B89" s="20" t="s">
        <v>382</v>
      </c>
      <c r="C89" s="21">
        <f>SUM(E89,G89,I89,K89,M89,O89)</f>
      </c>
      <c r="D89" s="21">
        <f>SUM(F89,H89,J89,L89,N89,P89)</f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0</v>
      </c>
      <c r="P89" s="22">
        <v>0</v>
      </c>
    </row>
    <row r="90" spans="1:16" x14ac:dyDescent="0.25">
      <c r="A90" s="20" t="s">
        <v>40</v>
      </c>
      <c r="B90" s="20" t="s">
        <v>382</v>
      </c>
      <c r="C90" s="21">
        <f>SUM(E90,G90,I90,K90,M90,O90)</f>
      </c>
      <c r="D90" s="21">
        <f>SUM(F90,H90,J90,L90,N90,P90)</f>
      </c>
      <c r="E90" s="22">
        <v>0</v>
      </c>
      <c r="F90" s="22">
        <v>0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0</v>
      </c>
      <c r="P90" s="22">
        <v>0</v>
      </c>
    </row>
    <row r="91" spans="1:16" x14ac:dyDescent="0.25">
      <c r="A91" s="23" t="s">
        <v>17</v>
      </c>
      <c r="B91" s="23" t="s">
        <v>382</v>
      </c>
      <c r="C91" s="24">
        <f>SUM(C88:C90)</f>
      </c>
      <c r="D91" s="24">
        <f>SUM(D88:D90)</f>
      </c>
      <c r="E91" s="24">
        <f>SUM(E88:E90)</f>
      </c>
      <c r="F91" s="24">
        <f>SUM(F88:F90)</f>
      </c>
      <c r="G91" s="24">
        <f>SUM(G88:G90)</f>
      </c>
      <c r="H91" s="24">
        <f>SUM(H88:H90)</f>
      </c>
      <c r="I91" s="24">
        <f>SUM(I88:I90)</f>
      </c>
      <c r="J91" s="24">
        <f>SUM(J88:J90)</f>
      </c>
      <c r="K91" s="24">
        <f>SUM(K88:K90)</f>
      </c>
      <c r="L91" s="24">
        <f>SUM(L88:L90)</f>
      </c>
      <c r="M91" s="24">
        <f>SUM(M88:M90)</f>
      </c>
      <c r="N91" s="24">
        <f>SUM(N88:N90)</f>
      </c>
      <c r="O91" s="24">
        <f>SUM(O88:O90)</f>
      </c>
      <c r="P91" s="24">
        <f>SUM(P88:P90)</f>
      </c>
    </row>
    <row r="94" spans="1:4" x14ac:dyDescent="0.25">
      <c r="A94" s="26" t="s">
        <v>383</v>
      </c>
      <c r="B94" s="26"/>
      <c r="C94" s="26"/>
      <c r="D94" s="26"/>
    </row>
    <row r="95" spans="1:4" x14ac:dyDescent="0.25">
      <c r="A95" s="19" t="s">
        <v>224</v>
      </c>
      <c r="B95" s="19" t="s">
        <v>145</v>
      </c>
      <c r="C95" s="19" t="s">
        <v>384</v>
      </c>
      <c r="D95" s="19" t="s">
        <v>385</v>
      </c>
    </row>
    <row r="96" spans="1:4" x14ac:dyDescent="0.25">
      <c r="A96" s="20" t="s">
        <v>330</v>
      </c>
      <c r="B96" s="20" t="s">
        <v>149</v>
      </c>
      <c r="C96" s="21">
        <f>C10</f>
      </c>
      <c r="D96" s="21">
        <f>D10</f>
      </c>
    </row>
    <row r="97" spans="1:4" x14ac:dyDescent="0.25">
      <c r="A97" s="20" t="s">
        <v>72</v>
      </c>
      <c r="B97" s="20" t="s">
        <v>149</v>
      </c>
      <c r="C97" s="21">
        <f>C19</f>
      </c>
      <c r="D97" s="21">
        <f>D19</f>
      </c>
    </row>
    <row r="98" spans="1:4" x14ac:dyDescent="0.25">
      <c r="A98" s="20" t="s">
        <v>92</v>
      </c>
      <c r="B98" s="20" t="s">
        <v>149</v>
      </c>
      <c r="C98" s="21">
        <f>C28</f>
      </c>
      <c r="D98" s="21">
        <f>D28</f>
      </c>
    </row>
    <row r="99" spans="1:4" x14ac:dyDescent="0.25">
      <c r="A99" s="20" t="s">
        <v>155</v>
      </c>
      <c r="B99" s="20" t="s">
        <v>149</v>
      </c>
      <c r="C99" s="21">
        <f>C37</f>
      </c>
      <c r="D99" s="21">
        <f>D37</f>
      </c>
    </row>
    <row r="100" spans="1:4" x14ac:dyDescent="0.25">
      <c r="A100" s="20" t="s">
        <v>373</v>
      </c>
      <c r="B100" s="20" t="s">
        <v>149</v>
      </c>
      <c r="C100" s="21">
        <f>C46</f>
      </c>
      <c r="D100" s="21">
        <f>D46</f>
      </c>
    </row>
    <row r="101" spans="1:4" x14ac:dyDescent="0.25">
      <c r="A101" s="20" t="s">
        <v>375</v>
      </c>
      <c r="B101" s="20" t="s">
        <v>149</v>
      </c>
      <c r="C101" s="21">
        <f>C55</f>
      </c>
      <c r="D101" s="21">
        <f>D55</f>
      </c>
    </row>
    <row r="102" spans="1:4" x14ac:dyDescent="0.25">
      <c r="A102" s="20" t="s">
        <v>159</v>
      </c>
      <c r="B102" s="20" t="s">
        <v>149</v>
      </c>
      <c r="C102" s="21">
        <f>C64</f>
      </c>
      <c r="D102" s="21">
        <f>D64</f>
      </c>
    </row>
    <row r="103" spans="1:4" x14ac:dyDescent="0.25">
      <c r="A103" s="20" t="s">
        <v>378</v>
      </c>
      <c r="B103" s="20" t="s">
        <v>149</v>
      </c>
      <c r="C103" s="21">
        <f>C73</f>
      </c>
      <c r="D103" s="21">
        <f>D73</f>
      </c>
    </row>
    <row r="104" spans="1:4" x14ac:dyDescent="0.25">
      <c r="A104" s="20" t="s">
        <v>380</v>
      </c>
      <c r="B104" s="20" t="s">
        <v>149</v>
      </c>
      <c r="C104" s="21">
        <f>C82</f>
      </c>
      <c r="D104" s="21">
        <f>D82</f>
      </c>
    </row>
    <row r="105" spans="1:4" x14ac:dyDescent="0.25">
      <c r="A105" s="20" t="s">
        <v>382</v>
      </c>
      <c r="B105" s="20" t="s">
        <v>149</v>
      </c>
      <c r="C105" s="21">
        <f>C91</f>
      </c>
      <c r="D105" s="21">
        <f>D91</f>
      </c>
    </row>
    <row r="106" spans="1:4" x14ac:dyDescent="0.25">
      <c r="A106" s="23" t="s">
        <v>386</v>
      </c>
      <c r="B106" s="23" t="s">
        <v>165</v>
      </c>
      <c r="C106" s="24">
        <f>SUM(C96:C105)</f>
      </c>
      <c r="D106" s="24">
        <f>SUM(D96:D105)</f>
      </c>
    </row>
  </sheetData>
  <mergeCells count="92">
    <mergeCell ref="A2:P2"/>
    <mergeCell ref="C5:D5"/>
    <mergeCell ref="E5:F5"/>
    <mergeCell ref="G5:H5"/>
    <mergeCell ref="I5:J5"/>
    <mergeCell ref="K5:L5"/>
    <mergeCell ref="M5:N5"/>
    <mergeCell ref="O5:P5"/>
    <mergeCell ref="A5:A6"/>
    <mergeCell ref="B5:B6"/>
    <mergeCell ref="C14:D14"/>
    <mergeCell ref="E14:F14"/>
    <mergeCell ref="G14:H14"/>
    <mergeCell ref="I14:J14"/>
    <mergeCell ref="K14:L14"/>
    <mergeCell ref="M14:N14"/>
    <mergeCell ref="O14:P14"/>
    <mergeCell ref="A14:A15"/>
    <mergeCell ref="B14:B15"/>
    <mergeCell ref="C23:D23"/>
    <mergeCell ref="E23:F23"/>
    <mergeCell ref="G23:H23"/>
    <mergeCell ref="I23:J23"/>
    <mergeCell ref="K23:L23"/>
    <mergeCell ref="M23:N23"/>
    <mergeCell ref="O23:P23"/>
    <mergeCell ref="A23:A24"/>
    <mergeCell ref="B23:B24"/>
    <mergeCell ref="C32:D32"/>
    <mergeCell ref="E32:F32"/>
    <mergeCell ref="G32:H32"/>
    <mergeCell ref="I32:J32"/>
    <mergeCell ref="K32:L32"/>
    <mergeCell ref="M32:N32"/>
    <mergeCell ref="O32:P32"/>
    <mergeCell ref="A32:A33"/>
    <mergeCell ref="B32:B33"/>
    <mergeCell ref="C41:D41"/>
    <mergeCell ref="E41:F41"/>
    <mergeCell ref="G41:H41"/>
    <mergeCell ref="I41:J41"/>
    <mergeCell ref="K41:L41"/>
    <mergeCell ref="M41:N41"/>
    <mergeCell ref="O41:P41"/>
    <mergeCell ref="A41:A42"/>
    <mergeCell ref="B41:B42"/>
    <mergeCell ref="C50:D50"/>
    <mergeCell ref="E50:F50"/>
    <mergeCell ref="G50:H50"/>
    <mergeCell ref="I50:J50"/>
    <mergeCell ref="K50:L50"/>
    <mergeCell ref="M50:N50"/>
    <mergeCell ref="O50:P50"/>
    <mergeCell ref="A50:A51"/>
    <mergeCell ref="B50:B51"/>
    <mergeCell ref="C59:D59"/>
    <mergeCell ref="E59:F59"/>
    <mergeCell ref="G59:H59"/>
    <mergeCell ref="I59:J59"/>
    <mergeCell ref="K59:L59"/>
    <mergeCell ref="M59:N59"/>
    <mergeCell ref="O59:P59"/>
    <mergeCell ref="A59:A60"/>
    <mergeCell ref="B59:B60"/>
    <mergeCell ref="C68:D68"/>
    <mergeCell ref="E68:F68"/>
    <mergeCell ref="G68:H68"/>
    <mergeCell ref="I68:J68"/>
    <mergeCell ref="K68:L68"/>
    <mergeCell ref="M68:N68"/>
    <mergeCell ref="O68:P68"/>
    <mergeCell ref="A68:A69"/>
    <mergeCell ref="B68:B69"/>
    <mergeCell ref="C77:D77"/>
    <mergeCell ref="E77:F77"/>
    <mergeCell ref="G77:H77"/>
    <mergeCell ref="I77:J77"/>
    <mergeCell ref="K77:L77"/>
    <mergeCell ref="M77:N77"/>
    <mergeCell ref="O77:P77"/>
    <mergeCell ref="A77:A78"/>
    <mergeCell ref="B77:B78"/>
    <mergeCell ref="C86:D86"/>
    <mergeCell ref="E86:F86"/>
    <mergeCell ref="G86:H86"/>
    <mergeCell ref="I86:J86"/>
    <mergeCell ref="K86:L86"/>
    <mergeCell ref="M86:N86"/>
    <mergeCell ref="O86:P86"/>
    <mergeCell ref="A86:A87"/>
    <mergeCell ref="B86:B87"/>
    <mergeCell ref="A94:D94"/>
  </mergeCells>
  <dataValidations count="180">
    <dataValidation type="whole" operator="lessThanOrEqual" allowBlank="1" showErrorMessage="1" errorTitle="Mensagem de Erro" error="F não pode ser Superior a MF" sqref="F16">
      <formula1>E16</formula1>
    </dataValidation>
    <dataValidation type="whole" operator="lessThanOrEqual" allowBlank="1" showErrorMessage="1" errorTitle="Mensagem de Erro" error="F não pode ser Superior a MF" sqref="F17">
      <formula1>E17</formula1>
    </dataValidation>
    <dataValidation type="whole" operator="lessThanOrEqual" allowBlank="1" showErrorMessage="1" errorTitle="Mensagem de Erro" error="F não pode ser Superior a MF" sqref="F18">
      <formula1>E18</formula1>
    </dataValidation>
    <dataValidation type="whole" operator="lessThanOrEqual" allowBlank="1" showErrorMessage="1" errorTitle="Mensagem de Erro" error="F não pode ser Superior a MF" sqref="F25">
      <formula1>E25</formula1>
    </dataValidation>
    <dataValidation type="whole" operator="lessThanOrEqual" allowBlank="1" showErrorMessage="1" errorTitle="Mensagem de Erro" error="F não pode ser Superior a MF" sqref="F26">
      <formula1>E26</formula1>
    </dataValidation>
    <dataValidation type="whole" operator="lessThanOrEqual" allowBlank="1" showErrorMessage="1" errorTitle="Mensagem de Erro" error="F não pode ser Superior a MF" sqref="F27">
      <formula1>E27</formula1>
    </dataValidation>
    <dataValidation type="whole" operator="lessThanOrEqual" allowBlank="1" showErrorMessage="1" errorTitle="Mensagem de Erro" error="F não pode ser Superior a MF" sqref="F34">
      <formula1>E34</formula1>
    </dataValidation>
    <dataValidation type="whole" operator="lessThanOrEqual" allowBlank="1" showErrorMessage="1" errorTitle="Mensagem de Erro" error="F não pode ser Superior a MF" sqref="F35">
      <formula1>E35</formula1>
    </dataValidation>
    <dataValidation type="whole" operator="lessThanOrEqual" allowBlank="1" showErrorMessage="1" errorTitle="Mensagem de Erro" error="F não pode ser Superior a MF" sqref="F36">
      <formula1>E36</formula1>
    </dataValidation>
    <dataValidation type="whole" operator="lessThanOrEqual" allowBlank="1" showErrorMessage="1" errorTitle="Mensagem de Erro" error="F não pode ser Superior a MF" sqref="F43">
      <formula1>E43</formula1>
    </dataValidation>
    <dataValidation type="whole" operator="lessThanOrEqual" allowBlank="1" showErrorMessage="1" errorTitle="Mensagem de Erro" error="F não pode ser Superior a MF" sqref="F44">
      <formula1>E44</formula1>
    </dataValidation>
    <dataValidation type="whole" operator="lessThanOrEqual" allowBlank="1" showErrorMessage="1" errorTitle="Mensagem de Erro" error="F não pode ser Superior a MF" sqref="F45">
      <formula1>E45</formula1>
    </dataValidation>
    <dataValidation type="whole" operator="lessThanOrEqual" allowBlank="1" showErrorMessage="1" errorTitle="Mensagem de Erro" error="F não pode ser Superior a MF" sqref="F52">
      <formula1>E52</formula1>
    </dataValidation>
    <dataValidation type="whole" operator="lessThanOrEqual" allowBlank="1" showErrorMessage="1" errorTitle="Mensagem de Erro" error="F não pode ser Superior a MF" sqref="F53">
      <formula1>E53</formula1>
    </dataValidation>
    <dataValidation type="whole" operator="lessThanOrEqual" allowBlank="1" showErrorMessage="1" errorTitle="Mensagem de Erro" error="F não pode ser Superior a MF" sqref="F54">
      <formula1>E54</formula1>
    </dataValidation>
    <dataValidation type="whole" operator="lessThanOrEqual" allowBlank="1" showErrorMessage="1" errorTitle="Mensagem de Erro" error="F não pode ser Superior a MF" sqref="F61">
      <formula1>E61</formula1>
    </dataValidation>
    <dataValidation type="whole" operator="lessThanOrEqual" allowBlank="1" showErrorMessage="1" errorTitle="Mensagem de Erro" error="F não pode ser Superior a MF" sqref="F62">
      <formula1>E62</formula1>
    </dataValidation>
    <dataValidation type="whole" operator="lessThanOrEqual" allowBlank="1" showErrorMessage="1" errorTitle="Mensagem de Erro" error="F não pode ser Superior a MF" sqref="F63">
      <formula1>E63</formula1>
    </dataValidation>
    <dataValidation type="whole" operator="lessThanOrEqual" allowBlank="1" showErrorMessage="1" errorTitle="Mensagem de Erro" error="F não pode ser Superior a MF" sqref="F7">
      <formula1>E7</formula1>
    </dataValidation>
    <dataValidation type="whole" operator="lessThanOrEqual" allowBlank="1" showErrorMessage="1" errorTitle="Mensagem de Erro" error="F não pode ser Superior a MF" sqref="F70">
      <formula1>E70</formula1>
    </dataValidation>
    <dataValidation type="whole" operator="lessThanOrEqual" allowBlank="1" showErrorMessage="1" errorTitle="Mensagem de Erro" error="F não pode ser Superior a MF" sqref="F71">
      <formula1>E71</formula1>
    </dataValidation>
    <dataValidation type="whole" operator="lessThanOrEqual" allowBlank="1" showErrorMessage="1" errorTitle="Mensagem de Erro" error="F não pode ser Superior a MF" sqref="F72">
      <formula1>E72</formula1>
    </dataValidation>
    <dataValidation type="whole" operator="lessThanOrEqual" allowBlank="1" showErrorMessage="1" errorTitle="Mensagem de Erro" error="F não pode ser Superior a MF" sqref="F79">
      <formula1>E79</formula1>
    </dataValidation>
    <dataValidation type="whole" operator="lessThanOrEqual" allowBlank="1" showErrorMessage="1" errorTitle="Mensagem de Erro" error="F não pode ser Superior a MF" sqref="F8">
      <formula1>E8</formula1>
    </dataValidation>
    <dataValidation type="whole" operator="lessThanOrEqual" allowBlank="1" showErrorMessage="1" errorTitle="Mensagem de Erro" error="F não pode ser Superior a MF" sqref="F80">
      <formula1>E80</formula1>
    </dataValidation>
    <dataValidation type="whole" operator="lessThanOrEqual" allowBlank="1" showErrorMessage="1" errorTitle="Mensagem de Erro" error="F não pode ser Superior a MF" sqref="F81">
      <formula1>E81</formula1>
    </dataValidation>
    <dataValidation type="whole" operator="lessThanOrEqual" allowBlank="1" showErrorMessage="1" errorTitle="Mensagem de Erro" error="F não pode ser Superior a MF" sqref="F88">
      <formula1>E88</formula1>
    </dataValidation>
    <dataValidation type="whole" operator="lessThanOrEqual" allowBlank="1" showErrorMessage="1" errorTitle="Mensagem de Erro" error="F não pode ser Superior a MF" sqref="F89">
      <formula1>E89</formula1>
    </dataValidation>
    <dataValidation type="whole" operator="lessThanOrEqual" allowBlank="1" showErrorMessage="1" errorTitle="Mensagem de Erro" error="F não pode ser Superior a MF" sqref="F9">
      <formula1>E9</formula1>
    </dataValidation>
    <dataValidation type="whole" operator="lessThanOrEqual" allowBlank="1" showErrorMessage="1" errorTitle="Mensagem de Erro" error="F não pode ser Superior a MF" sqref="F90">
      <formula1>E90</formula1>
    </dataValidation>
    <dataValidation type="whole" operator="lessThanOrEqual" allowBlank="1" showErrorMessage="1" errorTitle="Mensagem de Erro" error="F não pode ser Superior a MF" sqref="H16">
      <formula1>G16</formula1>
    </dataValidation>
    <dataValidation type="whole" operator="lessThanOrEqual" allowBlank="1" showErrorMessage="1" errorTitle="Mensagem de Erro" error="F não pode ser Superior a MF" sqref="H17">
      <formula1>G17</formula1>
    </dataValidation>
    <dataValidation type="whole" operator="lessThanOrEqual" allowBlank="1" showErrorMessage="1" errorTitle="Mensagem de Erro" error="F não pode ser Superior a MF" sqref="H18">
      <formula1>G18</formula1>
    </dataValidation>
    <dataValidation type="whole" operator="lessThanOrEqual" allowBlank="1" showErrorMessage="1" errorTitle="Mensagem de Erro" error="F não pode ser Superior a MF" sqref="H25">
      <formula1>G25</formula1>
    </dataValidation>
    <dataValidation type="whole" operator="lessThanOrEqual" allowBlank="1" showErrorMessage="1" errorTitle="Mensagem de Erro" error="F não pode ser Superior a MF" sqref="H26">
      <formula1>G26</formula1>
    </dataValidation>
    <dataValidation type="whole" operator="lessThanOrEqual" allowBlank="1" showErrorMessage="1" errorTitle="Mensagem de Erro" error="F não pode ser Superior a MF" sqref="H27">
      <formula1>G27</formula1>
    </dataValidation>
    <dataValidation type="whole" operator="lessThanOrEqual" allowBlank="1" showErrorMessage="1" errorTitle="Mensagem de Erro" error="F não pode ser Superior a MF" sqref="H34">
      <formula1>G34</formula1>
    </dataValidation>
    <dataValidation type="whole" operator="lessThanOrEqual" allowBlank="1" showErrorMessage="1" errorTitle="Mensagem de Erro" error="F não pode ser Superior a MF" sqref="H35">
      <formula1>G35</formula1>
    </dataValidation>
    <dataValidation type="whole" operator="lessThanOrEqual" allowBlank="1" showErrorMessage="1" errorTitle="Mensagem de Erro" error="F não pode ser Superior a MF" sqref="H36">
      <formula1>G36</formula1>
    </dataValidation>
    <dataValidation type="whole" operator="lessThanOrEqual" allowBlank="1" showErrorMessage="1" errorTitle="Mensagem de Erro" error="F não pode ser Superior a MF" sqref="H43">
      <formula1>G43</formula1>
    </dataValidation>
    <dataValidation type="whole" operator="lessThanOrEqual" allowBlank="1" showErrorMessage="1" errorTitle="Mensagem de Erro" error="F não pode ser Superior a MF" sqref="H44">
      <formula1>G44</formula1>
    </dataValidation>
    <dataValidation type="whole" operator="lessThanOrEqual" allowBlank="1" showErrorMessage="1" errorTitle="Mensagem de Erro" error="F não pode ser Superior a MF" sqref="H45">
      <formula1>G45</formula1>
    </dataValidation>
    <dataValidation type="whole" operator="lessThanOrEqual" allowBlank="1" showErrorMessage="1" errorTitle="Mensagem de Erro" error="F não pode ser Superior a MF" sqref="H52">
      <formula1>G52</formula1>
    </dataValidation>
    <dataValidation type="whole" operator="lessThanOrEqual" allowBlank="1" showErrorMessage="1" errorTitle="Mensagem de Erro" error="F não pode ser Superior a MF" sqref="H53">
      <formula1>G53</formula1>
    </dataValidation>
    <dataValidation type="whole" operator="lessThanOrEqual" allowBlank="1" showErrorMessage="1" errorTitle="Mensagem de Erro" error="F não pode ser Superior a MF" sqref="H54">
      <formula1>G54</formula1>
    </dataValidation>
    <dataValidation type="whole" operator="lessThanOrEqual" allowBlank="1" showErrorMessage="1" errorTitle="Mensagem de Erro" error="F não pode ser Superior a MF" sqref="H61">
      <formula1>G61</formula1>
    </dataValidation>
    <dataValidation type="whole" operator="lessThanOrEqual" allowBlank="1" showErrorMessage="1" errorTitle="Mensagem de Erro" error="F não pode ser Superior a MF" sqref="H62">
      <formula1>G62</formula1>
    </dataValidation>
    <dataValidation type="whole" operator="lessThanOrEqual" allowBlank="1" showErrorMessage="1" errorTitle="Mensagem de Erro" error="F não pode ser Superior a MF" sqref="H63">
      <formula1>G63</formula1>
    </dataValidation>
    <dataValidation type="whole" operator="lessThanOrEqual" allowBlank="1" showErrorMessage="1" errorTitle="Mensagem de Erro" error="F não pode ser Superior a MF" sqref="H7">
      <formula1>G7</formula1>
    </dataValidation>
    <dataValidation type="whole" operator="lessThanOrEqual" allowBlank="1" showErrorMessage="1" errorTitle="Mensagem de Erro" error="F não pode ser Superior a MF" sqref="H70">
      <formula1>G70</formula1>
    </dataValidation>
    <dataValidation type="whole" operator="lessThanOrEqual" allowBlank="1" showErrorMessage="1" errorTitle="Mensagem de Erro" error="F não pode ser Superior a MF" sqref="H71">
      <formula1>G71</formula1>
    </dataValidation>
    <dataValidation type="whole" operator="lessThanOrEqual" allowBlank="1" showErrorMessage="1" errorTitle="Mensagem de Erro" error="F não pode ser Superior a MF" sqref="H72">
      <formula1>G72</formula1>
    </dataValidation>
    <dataValidation type="whole" operator="lessThanOrEqual" allowBlank="1" showErrorMessage="1" errorTitle="Mensagem de Erro" error="F não pode ser Superior a MF" sqref="H79">
      <formula1>G79</formula1>
    </dataValidation>
    <dataValidation type="whole" operator="lessThanOrEqual" allowBlank="1" showErrorMessage="1" errorTitle="Mensagem de Erro" error="F não pode ser Superior a MF" sqref="H8">
      <formula1>G8</formula1>
    </dataValidation>
    <dataValidation type="whole" operator="lessThanOrEqual" allowBlank="1" showErrorMessage="1" errorTitle="Mensagem de Erro" error="F não pode ser Superior a MF" sqref="H80">
      <formula1>G80</formula1>
    </dataValidation>
    <dataValidation type="whole" operator="lessThanOrEqual" allowBlank="1" showErrorMessage="1" errorTitle="Mensagem de Erro" error="F não pode ser Superior a MF" sqref="H81">
      <formula1>G81</formula1>
    </dataValidation>
    <dataValidation type="whole" operator="lessThanOrEqual" allowBlank="1" showErrorMessage="1" errorTitle="Mensagem de Erro" error="F não pode ser Superior a MF" sqref="H88">
      <formula1>G88</formula1>
    </dataValidation>
    <dataValidation type="whole" operator="lessThanOrEqual" allowBlank="1" showErrorMessage="1" errorTitle="Mensagem de Erro" error="F não pode ser Superior a MF" sqref="H89">
      <formula1>G89</formula1>
    </dataValidation>
    <dataValidation type="whole" operator="lessThanOrEqual" allowBlank="1" showErrorMessage="1" errorTitle="Mensagem de Erro" error="F não pode ser Superior a MF" sqref="H9">
      <formula1>G9</formula1>
    </dataValidation>
    <dataValidation type="whole" operator="lessThanOrEqual" allowBlank="1" showErrorMessage="1" errorTitle="Mensagem de Erro" error="F não pode ser Superior a MF" sqref="H90">
      <formula1>G90</formula1>
    </dataValidation>
    <dataValidation type="whole" operator="lessThanOrEqual" allowBlank="1" showErrorMessage="1" errorTitle="Mensagem de Erro" error="F não pode ser Superior a MF" sqref="J16">
      <formula1>I16</formula1>
    </dataValidation>
    <dataValidation type="whole" operator="lessThanOrEqual" allowBlank="1" showErrorMessage="1" errorTitle="Mensagem de Erro" error="F não pode ser Superior a MF" sqref="J17">
      <formula1>I17</formula1>
    </dataValidation>
    <dataValidation type="whole" operator="lessThanOrEqual" allowBlank="1" showErrorMessage="1" errorTitle="Mensagem de Erro" error="F não pode ser Superior a MF" sqref="J18">
      <formula1>I18</formula1>
    </dataValidation>
    <dataValidation type="whole" operator="lessThanOrEqual" allowBlank="1" showErrorMessage="1" errorTitle="Mensagem de Erro" error="F não pode ser Superior a MF" sqref="J25">
      <formula1>I25</formula1>
    </dataValidation>
    <dataValidation type="whole" operator="lessThanOrEqual" allowBlank="1" showErrorMessage="1" errorTitle="Mensagem de Erro" error="F não pode ser Superior a MF" sqref="J26">
      <formula1>I26</formula1>
    </dataValidation>
    <dataValidation type="whole" operator="lessThanOrEqual" allowBlank="1" showErrorMessage="1" errorTitle="Mensagem de Erro" error="F não pode ser Superior a MF" sqref="J27">
      <formula1>I27</formula1>
    </dataValidation>
    <dataValidation type="whole" operator="lessThanOrEqual" allowBlank="1" showErrorMessage="1" errorTitle="Mensagem de Erro" error="F não pode ser Superior a MF" sqref="J34">
      <formula1>I34</formula1>
    </dataValidation>
    <dataValidation type="whole" operator="lessThanOrEqual" allowBlank="1" showErrorMessage="1" errorTitle="Mensagem de Erro" error="F não pode ser Superior a MF" sqref="J35">
      <formula1>I35</formula1>
    </dataValidation>
    <dataValidation type="whole" operator="lessThanOrEqual" allowBlank="1" showErrorMessage="1" errorTitle="Mensagem de Erro" error="F não pode ser Superior a MF" sqref="J36">
      <formula1>I36</formula1>
    </dataValidation>
    <dataValidation type="whole" operator="lessThanOrEqual" allowBlank="1" showErrorMessage="1" errorTitle="Mensagem de Erro" error="F não pode ser Superior a MF" sqref="J43">
      <formula1>I43</formula1>
    </dataValidation>
    <dataValidation type="whole" operator="lessThanOrEqual" allowBlank="1" showErrorMessage="1" errorTitle="Mensagem de Erro" error="F não pode ser Superior a MF" sqref="J44">
      <formula1>I44</formula1>
    </dataValidation>
    <dataValidation type="whole" operator="lessThanOrEqual" allowBlank="1" showErrorMessage="1" errorTitle="Mensagem de Erro" error="F não pode ser Superior a MF" sqref="J45">
      <formula1>I45</formula1>
    </dataValidation>
    <dataValidation type="whole" operator="lessThanOrEqual" allowBlank="1" showErrorMessage="1" errorTitle="Mensagem de Erro" error="F não pode ser Superior a MF" sqref="J52">
      <formula1>I52</formula1>
    </dataValidation>
    <dataValidation type="whole" operator="lessThanOrEqual" allowBlank="1" showErrorMessage="1" errorTitle="Mensagem de Erro" error="F não pode ser Superior a MF" sqref="J53">
      <formula1>I53</formula1>
    </dataValidation>
    <dataValidation type="whole" operator="lessThanOrEqual" allowBlank="1" showErrorMessage="1" errorTitle="Mensagem de Erro" error="F não pode ser Superior a MF" sqref="J54">
      <formula1>I54</formula1>
    </dataValidation>
    <dataValidation type="whole" operator="lessThanOrEqual" allowBlank="1" showErrorMessage="1" errorTitle="Mensagem de Erro" error="F não pode ser Superior a MF" sqref="J61">
      <formula1>I61</formula1>
    </dataValidation>
    <dataValidation type="whole" operator="lessThanOrEqual" allowBlank="1" showErrorMessage="1" errorTitle="Mensagem de Erro" error="F não pode ser Superior a MF" sqref="J62">
      <formula1>I62</formula1>
    </dataValidation>
    <dataValidation type="whole" operator="lessThanOrEqual" allowBlank="1" showErrorMessage="1" errorTitle="Mensagem de Erro" error="F não pode ser Superior a MF" sqref="J63">
      <formula1>I63</formula1>
    </dataValidation>
    <dataValidation type="whole" operator="lessThanOrEqual" allowBlank="1" showErrorMessage="1" errorTitle="Mensagem de Erro" error="F não pode ser Superior a MF" sqref="J7">
      <formula1>I7</formula1>
    </dataValidation>
    <dataValidation type="whole" operator="lessThanOrEqual" allowBlank="1" showErrorMessage="1" errorTitle="Mensagem de Erro" error="F não pode ser Superior a MF" sqref="J70">
      <formula1>I70</formula1>
    </dataValidation>
    <dataValidation type="whole" operator="lessThanOrEqual" allowBlank="1" showErrorMessage="1" errorTitle="Mensagem de Erro" error="F não pode ser Superior a MF" sqref="J71">
      <formula1>I71</formula1>
    </dataValidation>
    <dataValidation type="whole" operator="lessThanOrEqual" allowBlank="1" showErrorMessage="1" errorTitle="Mensagem de Erro" error="F não pode ser Superior a MF" sqref="J72">
      <formula1>I72</formula1>
    </dataValidation>
    <dataValidation type="whole" operator="lessThanOrEqual" allowBlank="1" showErrorMessage="1" errorTitle="Mensagem de Erro" error="F não pode ser Superior a MF" sqref="J79">
      <formula1>I79</formula1>
    </dataValidation>
    <dataValidation type="whole" operator="lessThanOrEqual" allowBlank="1" showErrorMessage="1" errorTitle="Mensagem de Erro" error="F não pode ser Superior a MF" sqref="J8">
      <formula1>I8</formula1>
    </dataValidation>
    <dataValidation type="whole" operator="lessThanOrEqual" allowBlank="1" showErrorMessage="1" errorTitle="Mensagem de Erro" error="F não pode ser Superior a MF" sqref="J80">
      <formula1>I80</formula1>
    </dataValidation>
    <dataValidation type="whole" operator="lessThanOrEqual" allowBlank="1" showErrorMessage="1" errorTitle="Mensagem de Erro" error="F não pode ser Superior a MF" sqref="J81">
      <formula1>I81</formula1>
    </dataValidation>
    <dataValidation type="whole" operator="lessThanOrEqual" allowBlank="1" showErrorMessage="1" errorTitle="Mensagem de Erro" error="F não pode ser Superior a MF" sqref="J88">
      <formula1>I88</formula1>
    </dataValidation>
    <dataValidation type="whole" operator="lessThanOrEqual" allowBlank="1" showErrorMessage="1" errorTitle="Mensagem de Erro" error="F não pode ser Superior a MF" sqref="J89">
      <formula1>I89</formula1>
    </dataValidation>
    <dataValidation type="whole" operator="lessThanOrEqual" allowBlank="1" showErrorMessage="1" errorTitle="Mensagem de Erro" error="F não pode ser Superior a MF" sqref="J9">
      <formula1>I9</formula1>
    </dataValidation>
    <dataValidation type="whole" operator="lessThanOrEqual" allowBlank="1" showErrorMessage="1" errorTitle="Mensagem de Erro" error="F não pode ser Superior a MF" sqref="J90">
      <formula1>I90</formula1>
    </dataValidation>
    <dataValidation type="whole" operator="lessThanOrEqual" allowBlank="1" showErrorMessage="1" errorTitle="Mensagem de Erro" error="F não pode ser Superior a MF" sqref="L16">
      <formula1>K16</formula1>
    </dataValidation>
    <dataValidation type="whole" operator="lessThanOrEqual" allowBlank="1" showErrorMessage="1" errorTitle="Mensagem de Erro" error="F não pode ser Superior a MF" sqref="L17">
      <formula1>K17</formula1>
    </dataValidation>
    <dataValidation type="whole" operator="lessThanOrEqual" allowBlank="1" showErrorMessage="1" errorTitle="Mensagem de Erro" error="F não pode ser Superior a MF" sqref="L18">
      <formula1>K18</formula1>
    </dataValidation>
    <dataValidation type="whole" operator="lessThanOrEqual" allowBlank="1" showErrorMessage="1" errorTitle="Mensagem de Erro" error="F não pode ser Superior a MF" sqref="L25">
      <formula1>K25</formula1>
    </dataValidation>
    <dataValidation type="whole" operator="lessThanOrEqual" allowBlank="1" showErrorMessage="1" errorTitle="Mensagem de Erro" error="F não pode ser Superior a MF" sqref="L26">
      <formula1>K26</formula1>
    </dataValidation>
    <dataValidation type="whole" operator="lessThanOrEqual" allowBlank="1" showErrorMessage="1" errorTitle="Mensagem de Erro" error="F não pode ser Superior a MF" sqref="L27">
      <formula1>K27</formula1>
    </dataValidation>
    <dataValidation type="whole" operator="lessThanOrEqual" allowBlank="1" showErrorMessage="1" errorTitle="Mensagem de Erro" error="F não pode ser Superior a MF" sqref="L34">
      <formula1>K34</formula1>
    </dataValidation>
    <dataValidation type="whole" operator="lessThanOrEqual" allowBlank="1" showErrorMessage="1" errorTitle="Mensagem de Erro" error="F não pode ser Superior a MF" sqref="L35">
      <formula1>K35</formula1>
    </dataValidation>
    <dataValidation type="whole" operator="lessThanOrEqual" allowBlank="1" showErrorMessage="1" errorTitle="Mensagem de Erro" error="F não pode ser Superior a MF" sqref="L36">
      <formula1>K36</formula1>
    </dataValidation>
    <dataValidation type="whole" operator="lessThanOrEqual" allowBlank="1" showErrorMessage="1" errorTitle="Mensagem de Erro" error="F não pode ser Superior a MF" sqref="L43">
      <formula1>K43</formula1>
    </dataValidation>
    <dataValidation type="whole" operator="lessThanOrEqual" allowBlank="1" showErrorMessage="1" errorTitle="Mensagem de Erro" error="F não pode ser Superior a MF" sqref="L44">
      <formula1>K44</formula1>
    </dataValidation>
    <dataValidation type="whole" operator="lessThanOrEqual" allowBlank="1" showErrorMessage="1" errorTitle="Mensagem de Erro" error="F não pode ser Superior a MF" sqref="L45">
      <formula1>K45</formula1>
    </dataValidation>
    <dataValidation type="whole" operator="lessThanOrEqual" allowBlank="1" showErrorMessage="1" errorTitle="Mensagem de Erro" error="F não pode ser Superior a MF" sqref="L52">
      <formula1>K52</formula1>
    </dataValidation>
    <dataValidation type="whole" operator="lessThanOrEqual" allowBlank="1" showErrorMessage="1" errorTitle="Mensagem de Erro" error="F não pode ser Superior a MF" sqref="L53">
      <formula1>K53</formula1>
    </dataValidation>
    <dataValidation type="whole" operator="lessThanOrEqual" allowBlank="1" showErrorMessage="1" errorTitle="Mensagem de Erro" error="F não pode ser Superior a MF" sqref="L54">
      <formula1>K54</formula1>
    </dataValidation>
    <dataValidation type="whole" operator="lessThanOrEqual" allowBlank="1" showErrorMessage="1" errorTitle="Mensagem de Erro" error="F não pode ser Superior a MF" sqref="L61">
      <formula1>K61</formula1>
    </dataValidation>
    <dataValidation type="whole" operator="lessThanOrEqual" allowBlank="1" showErrorMessage="1" errorTitle="Mensagem de Erro" error="F não pode ser Superior a MF" sqref="L62">
      <formula1>K62</formula1>
    </dataValidation>
    <dataValidation type="whole" operator="lessThanOrEqual" allowBlank="1" showErrorMessage="1" errorTitle="Mensagem de Erro" error="F não pode ser Superior a MF" sqref="L63">
      <formula1>K63</formula1>
    </dataValidation>
    <dataValidation type="whole" operator="lessThanOrEqual" allowBlank="1" showErrorMessage="1" errorTitle="Mensagem de Erro" error="F não pode ser Superior a MF" sqref="L7">
      <formula1>K7</formula1>
    </dataValidation>
    <dataValidation type="whole" operator="lessThanOrEqual" allowBlank="1" showErrorMessage="1" errorTitle="Mensagem de Erro" error="F não pode ser Superior a MF" sqref="L70">
      <formula1>K70</formula1>
    </dataValidation>
    <dataValidation type="whole" operator="lessThanOrEqual" allowBlank="1" showErrorMessage="1" errorTitle="Mensagem de Erro" error="F não pode ser Superior a MF" sqref="L71">
      <formula1>K71</formula1>
    </dataValidation>
    <dataValidation type="whole" operator="lessThanOrEqual" allowBlank="1" showErrorMessage="1" errorTitle="Mensagem de Erro" error="F não pode ser Superior a MF" sqref="L72">
      <formula1>K72</formula1>
    </dataValidation>
    <dataValidation type="whole" operator="lessThanOrEqual" allowBlank="1" showErrorMessage="1" errorTitle="Mensagem de Erro" error="F não pode ser Superior a MF" sqref="L79">
      <formula1>K79</formula1>
    </dataValidation>
    <dataValidation type="whole" operator="lessThanOrEqual" allowBlank="1" showErrorMessage="1" errorTitle="Mensagem de Erro" error="F não pode ser Superior a MF" sqref="L8">
      <formula1>K8</formula1>
    </dataValidation>
    <dataValidation type="whole" operator="lessThanOrEqual" allowBlank="1" showErrorMessage="1" errorTitle="Mensagem de Erro" error="F não pode ser Superior a MF" sqref="L80">
      <formula1>K80</formula1>
    </dataValidation>
    <dataValidation type="whole" operator="lessThanOrEqual" allowBlank="1" showErrorMessage="1" errorTitle="Mensagem de Erro" error="F não pode ser Superior a MF" sqref="L81">
      <formula1>K81</formula1>
    </dataValidation>
    <dataValidation type="whole" operator="lessThanOrEqual" allowBlank="1" showErrorMessage="1" errorTitle="Mensagem de Erro" error="F não pode ser Superior a MF" sqref="L88">
      <formula1>K88</formula1>
    </dataValidation>
    <dataValidation type="whole" operator="lessThanOrEqual" allowBlank="1" showErrorMessage="1" errorTitle="Mensagem de Erro" error="F não pode ser Superior a MF" sqref="L89">
      <formula1>K89</formula1>
    </dataValidation>
    <dataValidation type="whole" operator="lessThanOrEqual" allowBlank="1" showErrorMessage="1" errorTitle="Mensagem de Erro" error="F não pode ser Superior a MF" sqref="L9">
      <formula1>K9</formula1>
    </dataValidation>
    <dataValidation type="whole" operator="lessThanOrEqual" allowBlank="1" showErrorMessage="1" errorTitle="Mensagem de Erro" error="F não pode ser Superior a MF" sqref="L90">
      <formula1>K90</formula1>
    </dataValidation>
    <dataValidation type="whole" operator="lessThanOrEqual" allowBlank="1" showErrorMessage="1" errorTitle="Mensagem de Erro" error="F não pode ser Superior a MF" sqref="N16">
      <formula1>M16</formula1>
    </dataValidation>
    <dataValidation type="whole" operator="lessThanOrEqual" allowBlank="1" showErrorMessage="1" errorTitle="Mensagem de Erro" error="F não pode ser Superior a MF" sqref="N17">
      <formula1>M17</formula1>
    </dataValidation>
    <dataValidation type="whole" operator="lessThanOrEqual" allowBlank="1" showErrorMessage="1" errorTitle="Mensagem de Erro" error="F não pode ser Superior a MF" sqref="N18">
      <formula1>M18</formula1>
    </dataValidation>
    <dataValidation type="whole" operator="lessThanOrEqual" allowBlank="1" showErrorMessage="1" errorTitle="Mensagem de Erro" error="F não pode ser Superior a MF" sqref="N25">
      <formula1>M25</formula1>
    </dataValidation>
    <dataValidation type="whole" operator="lessThanOrEqual" allowBlank="1" showErrorMessage="1" errorTitle="Mensagem de Erro" error="F não pode ser Superior a MF" sqref="N26">
      <formula1>M26</formula1>
    </dataValidation>
    <dataValidation type="whole" operator="lessThanOrEqual" allowBlank="1" showErrorMessage="1" errorTitle="Mensagem de Erro" error="F não pode ser Superior a MF" sqref="N27">
      <formula1>M27</formula1>
    </dataValidation>
    <dataValidation type="whole" operator="lessThanOrEqual" allowBlank="1" showErrorMessage="1" errorTitle="Mensagem de Erro" error="F não pode ser Superior a MF" sqref="N34">
      <formula1>M34</formula1>
    </dataValidation>
    <dataValidation type="whole" operator="lessThanOrEqual" allowBlank="1" showErrorMessage="1" errorTitle="Mensagem de Erro" error="F não pode ser Superior a MF" sqref="N35">
      <formula1>M35</formula1>
    </dataValidation>
    <dataValidation type="whole" operator="lessThanOrEqual" allowBlank="1" showErrorMessage="1" errorTitle="Mensagem de Erro" error="F não pode ser Superior a MF" sqref="N36">
      <formula1>M36</formula1>
    </dataValidation>
    <dataValidation type="whole" operator="lessThanOrEqual" allowBlank="1" showErrorMessage="1" errorTitle="Mensagem de Erro" error="F não pode ser Superior a MF" sqref="N43">
      <formula1>M43</formula1>
    </dataValidation>
    <dataValidation type="whole" operator="lessThanOrEqual" allowBlank="1" showErrorMessage="1" errorTitle="Mensagem de Erro" error="F não pode ser Superior a MF" sqref="N44">
      <formula1>M44</formula1>
    </dataValidation>
    <dataValidation type="whole" operator="lessThanOrEqual" allowBlank="1" showErrorMessage="1" errorTitle="Mensagem de Erro" error="F não pode ser Superior a MF" sqref="N45">
      <formula1>M45</formula1>
    </dataValidation>
    <dataValidation type="whole" operator="lessThanOrEqual" allowBlank="1" showErrorMessage="1" errorTitle="Mensagem de Erro" error="F não pode ser Superior a MF" sqref="N52">
      <formula1>M52</formula1>
    </dataValidation>
    <dataValidation type="whole" operator="lessThanOrEqual" allowBlank="1" showErrorMessage="1" errorTitle="Mensagem de Erro" error="F não pode ser Superior a MF" sqref="N53">
      <formula1>M53</formula1>
    </dataValidation>
    <dataValidation type="whole" operator="lessThanOrEqual" allowBlank="1" showErrorMessage="1" errorTitle="Mensagem de Erro" error="F não pode ser Superior a MF" sqref="N54">
      <formula1>M54</formula1>
    </dataValidation>
    <dataValidation type="whole" operator="lessThanOrEqual" allowBlank="1" showErrorMessage="1" errorTitle="Mensagem de Erro" error="F não pode ser Superior a MF" sqref="N61">
      <formula1>M61</formula1>
    </dataValidation>
    <dataValidation type="whole" operator="lessThanOrEqual" allowBlank="1" showErrorMessage="1" errorTitle="Mensagem de Erro" error="F não pode ser Superior a MF" sqref="N62">
      <formula1>M62</formula1>
    </dataValidation>
    <dataValidation type="whole" operator="lessThanOrEqual" allowBlank="1" showErrorMessage="1" errorTitle="Mensagem de Erro" error="F não pode ser Superior a MF" sqref="N63">
      <formula1>M63</formula1>
    </dataValidation>
    <dataValidation type="whole" operator="lessThanOrEqual" allowBlank="1" showErrorMessage="1" errorTitle="Mensagem de Erro" error="F não pode ser Superior a MF" sqref="N7">
      <formula1>M7</formula1>
    </dataValidation>
    <dataValidation type="whole" operator="lessThanOrEqual" allowBlank="1" showErrorMessage="1" errorTitle="Mensagem de Erro" error="F não pode ser Superior a MF" sqref="N70">
      <formula1>M70</formula1>
    </dataValidation>
    <dataValidation type="whole" operator="lessThanOrEqual" allowBlank="1" showErrorMessage="1" errorTitle="Mensagem de Erro" error="F não pode ser Superior a MF" sqref="N71">
      <formula1>M71</formula1>
    </dataValidation>
    <dataValidation type="whole" operator="lessThanOrEqual" allowBlank="1" showErrorMessage="1" errorTitle="Mensagem de Erro" error="F não pode ser Superior a MF" sqref="N72">
      <formula1>M72</formula1>
    </dataValidation>
    <dataValidation type="whole" operator="lessThanOrEqual" allowBlank="1" showErrorMessage="1" errorTitle="Mensagem de Erro" error="F não pode ser Superior a MF" sqref="N79">
      <formula1>M79</formula1>
    </dataValidation>
    <dataValidation type="whole" operator="lessThanOrEqual" allowBlank="1" showErrorMessage="1" errorTitle="Mensagem de Erro" error="F não pode ser Superior a MF" sqref="N8">
      <formula1>M8</formula1>
    </dataValidation>
    <dataValidation type="whole" operator="lessThanOrEqual" allowBlank="1" showErrorMessage="1" errorTitle="Mensagem de Erro" error="F não pode ser Superior a MF" sqref="N80">
      <formula1>M80</formula1>
    </dataValidation>
    <dataValidation type="whole" operator="lessThanOrEqual" allowBlank="1" showErrorMessage="1" errorTitle="Mensagem de Erro" error="F não pode ser Superior a MF" sqref="N81">
      <formula1>M81</formula1>
    </dataValidation>
    <dataValidation type="whole" operator="lessThanOrEqual" allowBlank="1" showErrorMessage="1" errorTitle="Mensagem de Erro" error="F não pode ser Superior a MF" sqref="N88">
      <formula1>M88</formula1>
    </dataValidation>
    <dataValidation type="whole" operator="lessThanOrEqual" allowBlank="1" showErrorMessage="1" errorTitle="Mensagem de Erro" error="F não pode ser Superior a MF" sqref="N89">
      <formula1>M89</formula1>
    </dataValidation>
    <dataValidation type="whole" operator="lessThanOrEqual" allowBlank="1" showErrorMessage="1" errorTitle="Mensagem de Erro" error="F não pode ser Superior a MF" sqref="N9">
      <formula1>M9</formula1>
    </dataValidation>
    <dataValidation type="whole" operator="lessThanOrEqual" allowBlank="1" showErrorMessage="1" errorTitle="Mensagem de Erro" error="F não pode ser Superior a MF" sqref="N90">
      <formula1>M90</formula1>
    </dataValidation>
    <dataValidation type="whole" operator="lessThanOrEqual" allowBlank="1" showErrorMessage="1" errorTitle="Mensagem de Erro" error="F não pode ser Superior a MF" sqref="P16">
      <formula1>O16</formula1>
    </dataValidation>
    <dataValidation type="whole" operator="lessThanOrEqual" allowBlank="1" showErrorMessage="1" errorTitle="Mensagem de Erro" error="F não pode ser Superior a MF" sqref="P17">
      <formula1>O17</formula1>
    </dataValidation>
    <dataValidation type="whole" operator="lessThanOrEqual" allowBlank="1" showErrorMessage="1" errorTitle="Mensagem de Erro" error="F não pode ser Superior a MF" sqref="P18">
      <formula1>O18</formula1>
    </dataValidation>
    <dataValidation type="whole" operator="lessThanOrEqual" allowBlank="1" showErrorMessage="1" errorTitle="Mensagem de Erro" error="F não pode ser Superior a MF" sqref="P25">
      <formula1>O25</formula1>
    </dataValidation>
    <dataValidation type="whole" operator="lessThanOrEqual" allowBlank="1" showErrorMessage="1" errorTitle="Mensagem de Erro" error="F não pode ser Superior a MF" sqref="P26">
      <formula1>O26</formula1>
    </dataValidation>
    <dataValidation type="whole" operator="lessThanOrEqual" allowBlank="1" showErrorMessage="1" errorTitle="Mensagem de Erro" error="F não pode ser Superior a MF" sqref="P27">
      <formula1>O27</formula1>
    </dataValidation>
    <dataValidation type="whole" operator="lessThanOrEqual" allowBlank="1" showErrorMessage="1" errorTitle="Mensagem de Erro" error="F não pode ser Superior a MF" sqref="P34">
      <formula1>O34</formula1>
    </dataValidation>
    <dataValidation type="whole" operator="lessThanOrEqual" allowBlank="1" showErrorMessage="1" errorTitle="Mensagem de Erro" error="F não pode ser Superior a MF" sqref="P35">
      <formula1>O35</formula1>
    </dataValidation>
    <dataValidation type="whole" operator="lessThanOrEqual" allowBlank="1" showErrorMessage="1" errorTitle="Mensagem de Erro" error="F não pode ser Superior a MF" sqref="P36">
      <formula1>O36</formula1>
    </dataValidation>
    <dataValidation type="whole" operator="lessThanOrEqual" allowBlank="1" showErrorMessage="1" errorTitle="Mensagem de Erro" error="F não pode ser Superior a MF" sqref="P43">
      <formula1>O43</formula1>
    </dataValidation>
    <dataValidation type="whole" operator="lessThanOrEqual" allowBlank="1" showErrorMessage="1" errorTitle="Mensagem de Erro" error="F não pode ser Superior a MF" sqref="P44">
      <formula1>O44</formula1>
    </dataValidation>
    <dataValidation type="whole" operator="lessThanOrEqual" allowBlank="1" showErrorMessage="1" errorTitle="Mensagem de Erro" error="F não pode ser Superior a MF" sqref="P45">
      <formula1>O45</formula1>
    </dataValidation>
    <dataValidation type="whole" operator="lessThanOrEqual" allowBlank="1" showErrorMessage="1" errorTitle="Mensagem de Erro" error="F não pode ser Superior a MF" sqref="P52">
      <formula1>O52</formula1>
    </dataValidation>
    <dataValidation type="whole" operator="lessThanOrEqual" allowBlank="1" showErrorMessage="1" errorTitle="Mensagem de Erro" error="F não pode ser Superior a MF" sqref="P53">
      <formula1>O53</formula1>
    </dataValidation>
    <dataValidation type="whole" operator="lessThanOrEqual" allowBlank="1" showErrorMessage="1" errorTitle="Mensagem de Erro" error="F não pode ser Superior a MF" sqref="P54">
      <formula1>O54</formula1>
    </dataValidation>
    <dataValidation type="whole" operator="lessThanOrEqual" allowBlank="1" showErrorMessage="1" errorTitle="Mensagem de Erro" error="F não pode ser Superior a MF" sqref="P61">
      <formula1>O61</formula1>
    </dataValidation>
    <dataValidation type="whole" operator="lessThanOrEqual" allowBlank="1" showErrorMessage="1" errorTitle="Mensagem de Erro" error="F não pode ser Superior a MF" sqref="P62">
      <formula1>O62</formula1>
    </dataValidation>
    <dataValidation type="whole" operator="lessThanOrEqual" allowBlank="1" showErrorMessage="1" errorTitle="Mensagem de Erro" error="F não pode ser Superior a MF" sqref="P63">
      <formula1>O63</formula1>
    </dataValidation>
    <dataValidation type="whole" operator="lessThanOrEqual" allowBlank="1" showErrorMessage="1" errorTitle="Mensagem de Erro" error="F não pode ser Superior a MF" sqref="P7">
      <formula1>O7</formula1>
    </dataValidation>
    <dataValidation type="whole" operator="lessThanOrEqual" allowBlank="1" showErrorMessage="1" errorTitle="Mensagem de Erro" error="F não pode ser Superior a MF" sqref="P70">
      <formula1>O70</formula1>
    </dataValidation>
    <dataValidation type="whole" operator="lessThanOrEqual" allowBlank="1" showErrorMessage="1" errorTitle="Mensagem de Erro" error="F não pode ser Superior a MF" sqref="P71">
      <formula1>O71</formula1>
    </dataValidation>
    <dataValidation type="whole" operator="lessThanOrEqual" allowBlank="1" showErrorMessage="1" errorTitle="Mensagem de Erro" error="F não pode ser Superior a MF" sqref="P72">
      <formula1>O72</formula1>
    </dataValidation>
    <dataValidation type="whole" operator="lessThanOrEqual" allowBlank="1" showErrorMessage="1" errorTitle="Mensagem de Erro" error="F não pode ser Superior a MF" sqref="P79">
      <formula1>O79</formula1>
    </dataValidation>
    <dataValidation type="whole" operator="lessThanOrEqual" allowBlank="1" showErrorMessage="1" errorTitle="Mensagem de Erro" error="F não pode ser Superior a MF" sqref="P8">
      <formula1>O8</formula1>
    </dataValidation>
    <dataValidation type="whole" operator="lessThanOrEqual" allowBlank="1" showErrorMessage="1" errorTitle="Mensagem de Erro" error="F não pode ser Superior a MF" sqref="P80">
      <formula1>O80</formula1>
    </dataValidation>
    <dataValidation type="whole" operator="lessThanOrEqual" allowBlank="1" showErrorMessage="1" errorTitle="Mensagem de Erro" error="F não pode ser Superior a MF" sqref="P81">
      <formula1>O81</formula1>
    </dataValidation>
    <dataValidation type="whole" operator="lessThanOrEqual" allowBlank="1" showErrorMessage="1" errorTitle="Mensagem de Erro" error="F não pode ser Superior a MF" sqref="P88">
      <formula1>O88</formula1>
    </dataValidation>
    <dataValidation type="whole" operator="lessThanOrEqual" allowBlank="1" showErrorMessage="1" errorTitle="Mensagem de Erro" error="F não pode ser Superior a MF" sqref="P89">
      <formula1>O89</formula1>
    </dataValidation>
    <dataValidation type="whole" operator="lessThanOrEqual" allowBlank="1" showErrorMessage="1" errorTitle="Mensagem de Erro" error="F não pode ser Superior a MF" sqref="P9">
      <formula1>O9</formula1>
    </dataValidation>
    <dataValidation type="whole" operator="lessThanOrEqual" allowBlank="1" showErrorMessage="1" errorTitle="Mensagem de Erro" error="F não pode ser Superior a MF" sqref="P90">
      <formula1>O90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48"/>
  <sheetViews>
    <sheetView workbookViewId="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32" customWidth="1"/>
    <col min="2" max="2" width="22" customWidth="1"/>
    <col min="3" max="16" width="14" customWidth="1"/>
  </cols>
  <sheetData>
    <row r="2" spans="1:16" x14ac:dyDescent="0.25">
      <c r="A2" s="16" t="s">
        <v>387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4" spans="1:1" x14ac:dyDescent="0.25">
      <c r="A4" s="27" t="s">
        <v>388</v>
      </c>
    </row>
    <row r="5" spans="1:16" x14ac:dyDescent="0.25">
      <c r="A5" s="19" t="s">
        <v>389</v>
      </c>
      <c r="B5" s="19" t="s">
        <v>84</v>
      </c>
      <c r="C5" s="19" t="s">
        <v>46</v>
      </c>
      <c r="D5" s="19"/>
      <c r="E5" s="19" t="s">
        <v>390</v>
      </c>
      <c r="F5" s="19"/>
      <c r="G5" s="19" t="s">
        <v>391</v>
      </c>
      <c r="H5" s="19"/>
      <c r="I5" s="19" t="s">
        <v>392</v>
      </c>
      <c r="J5" s="19"/>
      <c r="K5" s="19" t="s">
        <v>393</v>
      </c>
      <c r="L5" s="19"/>
      <c r="M5" s="19" t="s">
        <v>394</v>
      </c>
      <c r="N5" s="19"/>
      <c r="O5" s="19" t="s">
        <v>395</v>
      </c>
      <c r="P5" s="19"/>
    </row>
    <row r="6" spans="1:16" x14ac:dyDescent="0.25">
      <c r="A6" s="19"/>
      <c r="B6" s="19"/>
      <c r="C6" s="19" t="s">
        <v>33</v>
      </c>
      <c r="D6" s="19" t="s">
        <v>34</v>
      </c>
      <c r="E6" s="19" t="s">
        <v>35</v>
      </c>
      <c r="F6" s="19" t="s">
        <v>36</v>
      </c>
      <c r="G6" s="19" t="s">
        <v>35</v>
      </c>
      <c r="H6" s="19" t="s">
        <v>36</v>
      </c>
      <c r="I6" s="19" t="s">
        <v>35</v>
      </c>
      <c r="J6" s="19" t="s">
        <v>36</v>
      </c>
      <c r="K6" s="19" t="s">
        <v>35</v>
      </c>
      <c r="L6" s="19" t="s">
        <v>36</v>
      </c>
      <c r="M6" s="19" t="s">
        <v>35</v>
      </c>
      <c r="N6" s="19" t="s">
        <v>36</v>
      </c>
      <c r="O6" s="19" t="s">
        <v>35</v>
      </c>
      <c r="P6" s="19" t="s">
        <v>36</v>
      </c>
    </row>
    <row r="7" spans="1:16" x14ac:dyDescent="0.25">
      <c r="A7" s="20" t="s">
        <v>396</v>
      </c>
      <c r="B7" s="20" t="s">
        <v>38</v>
      </c>
      <c r="C7" s="21">
        <f>SUM(E7,G7,I7,K7,M7,O7)</f>
      </c>
      <c r="D7" s="21">
        <f>SUM(F7,H7,J7,L7,N7,P7)</f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</row>
    <row r="8" spans="1:16" x14ac:dyDescent="0.25">
      <c r="A8" s="20"/>
      <c r="B8" s="20" t="s">
        <v>39</v>
      </c>
      <c r="C8" s="21">
        <f>SUM(E8,G8,I8,K8,M8,O8)</f>
      </c>
      <c r="D8" s="21">
        <f>SUM(F8,H8,J8,L8,N8,P8)</f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</row>
    <row r="9" spans="1:16" x14ac:dyDescent="0.25">
      <c r="A9" s="20"/>
      <c r="B9" s="20" t="s">
        <v>40</v>
      </c>
      <c r="C9" s="21">
        <f>SUM(E9,G9,I9,K9,M9,O9)</f>
      </c>
      <c r="D9" s="21">
        <f>SUM(F9,H9,J9,L9,N9,P9)</f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</row>
    <row r="10" spans="1:16" x14ac:dyDescent="0.25">
      <c r="A10" s="23" t="s">
        <v>17</v>
      </c>
      <c r="B10" s="23" t="s">
        <v>180</v>
      </c>
      <c r="C10" s="24">
        <f>SUM(C7:C9)</f>
      </c>
      <c r="D10" s="24">
        <f>SUM(D7:D9)</f>
      </c>
      <c r="E10" s="24">
        <f>SUM(E7:E9)</f>
      </c>
      <c r="F10" s="24">
        <f>SUM(F7:F9)</f>
      </c>
      <c r="G10" s="24">
        <f>SUM(G7:G9)</f>
      </c>
      <c r="H10" s="24">
        <f>SUM(H7:H9)</f>
      </c>
      <c r="I10" s="24">
        <f>SUM(I7:I9)</f>
      </c>
      <c r="J10" s="24">
        <f>SUM(J7:J9)</f>
      </c>
      <c r="K10" s="24">
        <f>SUM(K7:K9)</f>
      </c>
      <c r="L10" s="24">
        <f>SUM(L7:L9)</f>
      </c>
      <c r="M10" s="24">
        <f>SUM(M7:M9)</f>
      </c>
      <c r="N10" s="24">
        <f>SUM(N7:N9)</f>
      </c>
      <c r="O10" s="24">
        <f>SUM(O7:O9)</f>
      </c>
      <c r="P10" s="24">
        <f>SUM(P7:P9)</f>
      </c>
    </row>
    <row r="13" spans="1:1" x14ac:dyDescent="0.25">
      <c r="A13" s="27" t="s">
        <v>397</v>
      </c>
    </row>
    <row r="14" spans="1:14" x14ac:dyDescent="0.25">
      <c r="A14" s="19" t="s">
        <v>398</v>
      </c>
      <c r="B14" s="19" t="s">
        <v>84</v>
      </c>
      <c r="C14" s="19" t="s">
        <v>399</v>
      </c>
      <c r="D14" s="19"/>
      <c r="E14" s="19" t="s">
        <v>400</v>
      </c>
      <c r="F14" s="19"/>
      <c r="G14" s="19" t="s">
        <v>401</v>
      </c>
      <c r="H14" s="19"/>
      <c r="I14" s="19" t="s">
        <v>402</v>
      </c>
      <c r="J14" s="19"/>
      <c r="K14" s="19" t="s">
        <v>403</v>
      </c>
      <c r="L14" s="19"/>
      <c r="M14" s="19" t="s">
        <v>404</v>
      </c>
      <c r="N14" s="19"/>
    </row>
    <row r="15" spans="1:14" x14ac:dyDescent="0.25">
      <c r="A15" s="19"/>
      <c r="B15" s="19"/>
      <c r="C15" s="19" t="s">
        <v>33</v>
      </c>
      <c r="D15" s="19" t="s">
        <v>34</v>
      </c>
      <c r="E15" s="19" t="s">
        <v>35</v>
      </c>
      <c r="F15" s="19" t="s">
        <v>36</v>
      </c>
      <c r="G15" s="19" t="s">
        <v>35</v>
      </c>
      <c r="H15" s="19" t="s">
        <v>36</v>
      </c>
      <c r="I15" s="19" t="s">
        <v>35</v>
      </c>
      <c r="J15" s="19" t="s">
        <v>36</v>
      </c>
      <c r="K15" s="19" t="s">
        <v>35</v>
      </c>
      <c r="L15" s="19" t="s">
        <v>36</v>
      </c>
      <c r="M15" s="19" t="s">
        <v>35</v>
      </c>
      <c r="N15" s="19" t="s">
        <v>36</v>
      </c>
    </row>
    <row r="16" spans="1:14" x14ac:dyDescent="0.25">
      <c r="A16" s="20" t="s">
        <v>405</v>
      </c>
      <c r="B16" s="20" t="s">
        <v>38</v>
      </c>
      <c r="C16" s="21">
        <f>SUM(E16,G16,I16,K16,M16)</f>
      </c>
      <c r="D16" s="21">
        <f>SUM(F16,H16,J16,L16,N16)</f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</row>
    <row r="17" spans="1:14" x14ac:dyDescent="0.25">
      <c r="A17" s="20"/>
      <c r="B17" s="20" t="s">
        <v>39</v>
      </c>
      <c r="C17" s="21">
        <f>SUM(E17,G17,I17,K17,M17)</f>
      </c>
      <c r="D17" s="21">
        <f>SUM(F17,H17,J17,L17,N17)</f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</row>
    <row r="18" spans="1:14" x14ac:dyDescent="0.25">
      <c r="A18" s="20"/>
      <c r="B18" s="20" t="s">
        <v>40</v>
      </c>
      <c r="C18" s="21">
        <f>SUM(E18,G18,I18,K18,M18)</f>
      </c>
      <c r="D18" s="21">
        <f>SUM(F18,H18,J18,L18,N18)</f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</row>
    <row r="19" spans="1:14" x14ac:dyDescent="0.25">
      <c r="A19" s="23" t="s">
        <v>79</v>
      </c>
      <c r="B19" s="23" t="s">
        <v>405</v>
      </c>
      <c r="C19" s="24">
        <f>SUM(C16:C18)</f>
      </c>
      <c r="D19" s="24">
        <f>SUM(D16:D18)</f>
      </c>
      <c r="E19" s="24">
        <f>SUM(E16:E18)</f>
      </c>
      <c r="F19" s="24">
        <f>SUM(F16:F18)</f>
      </c>
      <c r="G19" s="24">
        <f>SUM(G16:G18)</f>
      </c>
      <c r="H19" s="24">
        <f>SUM(H16:H18)</f>
      </c>
      <c r="I19" s="24">
        <f>SUM(I16:I18)</f>
      </c>
      <c r="J19" s="24">
        <f>SUM(J16:J18)</f>
      </c>
      <c r="K19" s="24">
        <f>SUM(K16:K18)</f>
      </c>
      <c r="L19" s="24">
        <f>SUM(L16:L18)</f>
      </c>
      <c r="M19" s="24">
        <f>SUM(M16:M18)</f>
      </c>
      <c r="N19" s="24">
        <f>SUM(N16:N18)</f>
      </c>
    </row>
    <row r="20" spans="1:14" x14ac:dyDescent="0.25">
      <c r="A20" s="20" t="s">
        <v>406</v>
      </c>
      <c r="B20" s="20" t="s">
        <v>38</v>
      </c>
      <c r="C20" s="21">
        <f>SUM(E20,G20,I20,K20,M20)</f>
      </c>
      <c r="D20" s="21">
        <f>SUM(F20,H20,J20,L20,N20)</f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</row>
    <row r="21" spans="1:14" x14ac:dyDescent="0.25">
      <c r="A21" s="20"/>
      <c r="B21" s="20" t="s">
        <v>39</v>
      </c>
      <c r="C21" s="21">
        <f>SUM(E21,G21,I21,K21,M21)</f>
      </c>
      <c r="D21" s="21">
        <f>SUM(F21,H21,J21,L21,N21)</f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</row>
    <row r="22" spans="1:14" x14ac:dyDescent="0.25">
      <c r="A22" s="20"/>
      <c r="B22" s="20" t="s">
        <v>40</v>
      </c>
      <c r="C22" s="21">
        <f>SUM(E22,G22,I22,K22,M22)</f>
      </c>
      <c r="D22" s="21">
        <f>SUM(F22,H22,J22,L22,N22)</f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</row>
    <row r="23" spans="1:14" x14ac:dyDescent="0.25">
      <c r="A23" s="23" t="s">
        <v>79</v>
      </c>
      <c r="B23" s="23" t="s">
        <v>406</v>
      </c>
      <c r="C23" s="24">
        <f>SUM(C20:C22)</f>
      </c>
      <c r="D23" s="24">
        <f>SUM(D20:D22)</f>
      </c>
      <c r="E23" s="24">
        <f>SUM(E20:E22)</f>
      </c>
      <c r="F23" s="24">
        <f>SUM(F20:F22)</f>
      </c>
      <c r="G23" s="24">
        <f>SUM(G20:G22)</f>
      </c>
      <c r="H23" s="24">
        <f>SUM(H20:H22)</f>
      </c>
      <c r="I23" s="24">
        <f>SUM(I20:I22)</f>
      </c>
      <c r="J23" s="24">
        <f>SUM(J20:J22)</f>
      </c>
      <c r="K23" s="24">
        <f>SUM(K20:K22)</f>
      </c>
      <c r="L23" s="24">
        <f>SUM(L20:L22)</f>
      </c>
      <c r="M23" s="24">
        <f>SUM(M20:M22)</f>
      </c>
      <c r="N23" s="24">
        <f>SUM(N20:N22)</f>
      </c>
    </row>
    <row r="24" spans="1:14" x14ac:dyDescent="0.25">
      <c r="A24" s="20" t="s">
        <v>407</v>
      </c>
      <c r="B24" s="20" t="s">
        <v>38</v>
      </c>
      <c r="C24" s="21">
        <f>SUM(E24,G24,I24,K24,M24)</f>
      </c>
      <c r="D24" s="21">
        <f>SUM(F24,H24,J24,L24,N24)</f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</row>
    <row r="25" spans="1:14" x14ac:dyDescent="0.25">
      <c r="A25" s="20"/>
      <c r="B25" s="20" t="s">
        <v>39</v>
      </c>
      <c r="C25" s="21">
        <f>SUM(E25,G25,I25,K25,M25)</f>
      </c>
      <c r="D25" s="21">
        <f>SUM(F25,H25,J25,L25,N25)</f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</row>
    <row r="26" spans="1:14" x14ac:dyDescent="0.25">
      <c r="A26" s="20"/>
      <c r="B26" s="20" t="s">
        <v>40</v>
      </c>
      <c r="C26" s="21">
        <f>SUM(E26,G26,I26,K26,M26)</f>
      </c>
      <c r="D26" s="21">
        <f>SUM(F26,H26,J26,L26,N26)</f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</row>
    <row r="27" spans="1:14" x14ac:dyDescent="0.25">
      <c r="A27" s="23" t="s">
        <v>79</v>
      </c>
      <c r="B27" s="23" t="s">
        <v>407</v>
      </c>
      <c r="C27" s="24">
        <f>SUM(C24:C26)</f>
      </c>
      <c r="D27" s="24">
        <f>SUM(D24:D26)</f>
      </c>
      <c r="E27" s="24">
        <f>SUM(E24:E26)</f>
      </c>
      <c r="F27" s="24">
        <f>SUM(F24:F26)</f>
      </c>
      <c r="G27" s="24">
        <f>SUM(G24:G26)</f>
      </c>
      <c r="H27" s="24">
        <f>SUM(H24:H26)</f>
      </c>
      <c r="I27" s="24">
        <f>SUM(I24:I26)</f>
      </c>
      <c r="J27" s="24">
        <f>SUM(J24:J26)</f>
      </c>
      <c r="K27" s="24">
        <f>SUM(K24:K26)</f>
      </c>
      <c r="L27" s="24">
        <f>SUM(L24:L26)</f>
      </c>
      <c r="M27" s="24">
        <f>SUM(M24:M26)</f>
      </c>
      <c r="N27" s="24">
        <f>SUM(N24:N26)</f>
      </c>
    </row>
    <row r="28" spans="1:14" x14ac:dyDescent="0.25">
      <c r="A28" s="20" t="s">
        <v>408</v>
      </c>
      <c r="B28" s="20" t="s">
        <v>38</v>
      </c>
      <c r="C28" s="21">
        <f>SUM(E28,G28,I28,K28,M28)</f>
      </c>
      <c r="D28" s="21">
        <f>SUM(F28,H28,J28,L28,N28)</f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</row>
    <row r="29" spans="1:14" x14ac:dyDescent="0.25">
      <c r="A29" s="20"/>
      <c r="B29" s="20" t="s">
        <v>39</v>
      </c>
      <c r="C29" s="21">
        <f>SUM(E29,G29,I29,K29,M29)</f>
      </c>
      <c r="D29" s="21">
        <f>SUM(F29,H29,J29,L29,N29)</f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</row>
    <row r="30" spans="1:14" x14ac:dyDescent="0.25">
      <c r="A30" s="20"/>
      <c r="B30" s="20" t="s">
        <v>40</v>
      </c>
      <c r="C30" s="21">
        <f>SUM(E30,G30,I30,K30,M30)</f>
      </c>
      <c r="D30" s="21">
        <f>SUM(F30,H30,J30,L30,N30)</f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</row>
    <row r="31" spans="1:14" x14ac:dyDescent="0.25">
      <c r="A31" s="23" t="s">
        <v>79</v>
      </c>
      <c r="B31" s="23" t="s">
        <v>408</v>
      </c>
      <c r="C31" s="24">
        <f>SUM(C28:C30)</f>
      </c>
      <c r="D31" s="24">
        <f>SUM(D28:D30)</f>
      </c>
      <c r="E31" s="24">
        <f>SUM(E28:E30)</f>
      </c>
      <c r="F31" s="24">
        <f>SUM(F28:F30)</f>
      </c>
      <c r="G31" s="24">
        <f>SUM(G28:G30)</f>
      </c>
      <c r="H31" s="24">
        <f>SUM(H28:H30)</f>
      </c>
      <c r="I31" s="24">
        <f>SUM(I28:I30)</f>
      </c>
      <c r="J31" s="24">
        <f>SUM(J28:J30)</f>
      </c>
      <c r="K31" s="24">
        <f>SUM(K28:K30)</f>
      </c>
      <c r="L31" s="24">
        <f>SUM(L28:L30)</f>
      </c>
      <c r="M31" s="24">
        <f>SUM(M28:M30)</f>
      </c>
      <c r="N31" s="24">
        <f>SUM(N28:N30)</f>
      </c>
    </row>
    <row r="32" spans="1:14" x14ac:dyDescent="0.25">
      <c r="A32" s="20" t="s">
        <v>409</v>
      </c>
      <c r="B32" s="20" t="s">
        <v>38</v>
      </c>
      <c r="C32" s="21">
        <f>SUM(E32,G32,I32,K32,M32)</f>
      </c>
      <c r="D32" s="21">
        <f>SUM(F32,H32,J32,L32,N32)</f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</row>
    <row r="33" spans="1:14" x14ac:dyDescent="0.25">
      <c r="A33" s="20"/>
      <c r="B33" s="20" t="s">
        <v>39</v>
      </c>
      <c r="C33" s="21">
        <f>SUM(E33,G33,I33,K33,M33)</f>
      </c>
      <c r="D33" s="21">
        <f>SUM(F33,H33,J33,L33,N33)</f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</row>
    <row r="34" spans="1:14" x14ac:dyDescent="0.25">
      <c r="A34" s="20"/>
      <c r="B34" s="20" t="s">
        <v>40</v>
      </c>
      <c r="C34" s="21">
        <f>SUM(E34,G34,I34,K34,M34)</f>
      </c>
      <c r="D34" s="21">
        <f>SUM(F34,H34,J34,L34,N34)</f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</row>
    <row r="35" spans="1:14" x14ac:dyDescent="0.25">
      <c r="A35" s="23" t="s">
        <v>79</v>
      </c>
      <c r="B35" s="23" t="s">
        <v>409</v>
      </c>
      <c r="C35" s="24">
        <f>SUM(C32:C34)</f>
      </c>
      <c r="D35" s="24">
        <f>SUM(D32:D34)</f>
      </c>
      <c r="E35" s="24">
        <f>SUM(E32:E34)</f>
      </c>
      <c r="F35" s="24">
        <f>SUM(F32:F34)</f>
      </c>
      <c r="G35" s="24">
        <f>SUM(G32:G34)</f>
      </c>
      <c r="H35" s="24">
        <f>SUM(H32:H34)</f>
      </c>
      <c r="I35" s="24">
        <f>SUM(I32:I34)</f>
      </c>
      <c r="J35" s="24">
        <f>SUM(J32:J34)</f>
      </c>
      <c r="K35" s="24">
        <f>SUM(K32:K34)</f>
      </c>
      <c r="L35" s="24">
        <f>SUM(L32:L34)</f>
      </c>
      <c r="M35" s="24">
        <f>SUM(M32:M34)</f>
      </c>
      <c r="N35" s="24">
        <f>SUM(N32:N34)</f>
      </c>
    </row>
    <row r="36" spans="1:14" x14ac:dyDescent="0.25">
      <c r="A36" s="20" t="s">
        <v>410</v>
      </c>
      <c r="B36" s="20" t="s">
        <v>38</v>
      </c>
      <c r="C36" s="21">
        <f>SUM(E36,G36,I36,K36,M36)</f>
      </c>
      <c r="D36" s="21">
        <f>SUM(F36,H36,J36,L36,N36)</f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</row>
    <row r="37" spans="1:14" x14ac:dyDescent="0.25">
      <c r="A37" s="20"/>
      <c r="B37" s="20" t="s">
        <v>39</v>
      </c>
      <c r="C37" s="21">
        <f>SUM(E37,G37,I37,K37,M37)</f>
      </c>
      <c r="D37" s="21">
        <f>SUM(F37,H37,J37,L37,N37)</f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</row>
    <row r="38" spans="1:14" x14ac:dyDescent="0.25">
      <c r="A38" s="20"/>
      <c r="B38" s="20" t="s">
        <v>40</v>
      </c>
      <c r="C38" s="21">
        <f>SUM(E38,G38,I38,K38,M38)</f>
      </c>
      <c r="D38" s="21">
        <f>SUM(F38,H38,J38,L38,N38)</f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</row>
    <row r="39" spans="1:14" x14ac:dyDescent="0.25">
      <c r="A39" s="23" t="s">
        <v>79</v>
      </c>
      <c r="B39" s="23" t="s">
        <v>410</v>
      </c>
      <c r="C39" s="24">
        <f>SUM(C36:C38)</f>
      </c>
      <c r="D39" s="24">
        <f>SUM(D36:D38)</f>
      </c>
      <c r="E39" s="24">
        <f>SUM(E36:E38)</f>
      </c>
      <c r="F39" s="24">
        <f>SUM(F36:F38)</f>
      </c>
      <c r="G39" s="24">
        <f>SUM(G36:G38)</f>
      </c>
      <c r="H39" s="24">
        <f>SUM(H36:H38)</f>
      </c>
      <c r="I39" s="24">
        <f>SUM(I36:I38)</f>
      </c>
      <c r="J39" s="24">
        <f>SUM(J36:J38)</f>
      </c>
      <c r="K39" s="24">
        <f>SUM(K36:K38)</f>
      </c>
      <c r="L39" s="24">
        <f>SUM(L36:L38)</f>
      </c>
      <c r="M39" s="24">
        <f>SUM(M36:M38)</f>
      </c>
      <c r="N39" s="24">
        <f>SUM(N36:N38)</f>
      </c>
    </row>
    <row r="40" spans="1:14" x14ac:dyDescent="0.25">
      <c r="A40" s="20" t="s">
        <v>411</v>
      </c>
      <c r="B40" s="20" t="s">
        <v>38</v>
      </c>
      <c r="C40" s="21">
        <f>SUM(E40,G40,I40,K40,M40)</f>
      </c>
      <c r="D40" s="21">
        <f>SUM(F40,H40,J40,L40,N40)</f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</row>
    <row r="41" spans="1:14" x14ac:dyDescent="0.25">
      <c r="A41" s="20"/>
      <c r="B41" s="20" t="s">
        <v>39</v>
      </c>
      <c r="C41" s="21">
        <f>SUM(E41,G41,I41,K41,M41)</f>
      </c>
      <c r="D41" s="21">
        <f>SUM(F41,H41,J41,L41,N41)</f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</row>
    <row r="42" spans="1:14" x14ac:dyDescent="0.25">
      <c r="A42" s="20"/>
      <c r="B42" s="20" t="s">
        <v>40</v>
      </c>
      <c r="C42" s="21">
        <f>SUM(E42,G42,I42,K42,M42)</f>
      </c>
      <c r="D42" s="21">
        <f>SUM(F42,H42,J42,L42,N42)</f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</row>
    <row r="43" spans="1:14" x14ac:dyDescent="0.25">
      <c r="A43" s="23" t="s">
        <v>79</v>
      </c>
      <c r="B43" s="23" t="s">
        <v>411</v>
      </c>
      <c r="C43" s="24">
        <f>SUM(C40:C42)</f>
      </c>
      <c r="D43" s="24">
        <f>SUM(D40:D42)</f>
      </c>
      <c r="E43" s="24">
        <f>SUM(E40:E42)</f>
      </c>
      <c r="F43" s="24">
        <f>SUM(F40:F42)</f>
      </c>
      <c r="G43" s="24">
        <f>SUM(G40:G42)</f>
      </c>
      <c r="H43" s="24">
        <f>SUM(H40:H42)</f>
      </c>
      <c r="I43" s="24">
        <f>SUM(I40:I42)</f>
      </c>
      <c r="J43" s="24">
        <f>SUM(J40:J42)</f>
      </c>
      <c r="K43" s="24">
        <f>SUM(K40:K42)</f>
      </c>
      <c r="L43" s="24">
        <f>SUM(L40:L42)</f>
      </c>
      <c r="M43" s="24">
        <f>SUM(M40:M42)</f>
      </c>
      <c r="N43" s="24">
        <f>SUM(N40:N42)</f>
      </c>
    </row>
    <row r="44" spans="1:14" x14ac:dyDescent="0.25">
      <c r="A44" s="20" t="s">
        <v>412</v>
      </c>
      <c r="B44" s="20" t="s">
        <v>38</v>
      </c>
      <c r="C44" s="21">
        <f>SUM(E44,G44,I44,K44,M44)</f>
      </c>
      <c r="D44" s="21">
        <f>SUM(F44,H44,J44,L44,N44)</f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</row>
    <row r="45" spans="1:14" x14ac:dyDescent="0.25">
      <c r="A45" s="20"/>
      <c r="B45" s="20" t="s">
        <v>39</v>
      </c>
      <c r="C45" s="21">
        <f>SUM(E45,G45,I45,K45,M45)</f>
      </c>
      <c r="D45" s="21">
        <f>SUM(F45,H45,J45,L45,N45)</f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</row>
    <row r="46" spans="1:14" x14ac:dyDescent="0.25">
      <c r="A46" s="20"/>
      <c r="B46" s="20" t="s">
        <v>40</v>
      </c>
      <c r="C46" s="21">
        <f>SUM(E46,G46,I46,K46,M46)</f>
      </c>
      <c r="D46" s="21">
        <f>SUM(F46,H46,J46,L46,N46)</f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</row>
    <row r="47" spans="1:14" x14ac:dyDescent="0.25">
      <c r="A47" s="23" t="s">
        <v>79</v>
      </c>
      <c r="B47" s="23" t="s">
        <v>412</v>
      </c>
      <c r="C47" s="24">
        <f>SUM(C44:C46)</f>
      </c>
      <c r="D47" s="24">
        <f>SUM(D44:D46)</f>
      </c>
      <c r="E47" s="24">
        <f>SUM(E44:E46)</f>
      </c>
      <c r="F47" s="24">
        <f>SUM(F44:F46)</f>
      </c>
      <c r="G47" s="24">
        <f>SUM(G44:G46)</f>
      </c>
      <c r="H47" s="24">
        <f>SUM(H44:H46)</f>
      </c>
      <c r="I47" s="24">
        <f>SUM(I44:I46)</f>
      </c>
      <c r="J47" s="24">
        <f>SUM(J44:J46)</f>
      </c>
      <c r="K47" s="24">
        <f>SUM(K44:K46)</f>
      </c>
      <c r="L47" s="24">
        <f>SUM(L44:L46)</f>
      </c>
      <c r="M47" s="24">
        <f>SUM(M44:M46)</f>
      </c>
      <c r="N47" s="24">
        <f>SUM(N44:N46)</f>
      </c>
    </row>
    <row r="48" spans="1:14" x14ac:dyDescent="0.25">
      <c r="A48" s="23" t="s">
        <v>46</v>
      </c>
      <c r="B48" s="23" t="s">
        <v>413</v>
      </c>
      <c r="C48" s="24">
        <f>SUM(C19,C23,C27,C31,C35,C39,C43,C47)</f>
      </c>
      <c r="D48" s="24">
        <f>SUM(D19,D23,D27,D31,D35,D39,D43,D47)</f>
      </c>
      <c r="E48" s="24">
        <f>SUM(E19,E23,E27,E31,E35,E39,E43,E47)</f>
      </c>
      <c r="F48" s="24">
        <f>SUM(F19,F23,F27,F31,F35,F39,F43,F47)</f>
      </c>
      <c r="G48" s="24">
        <f>SUM(G19,G23,G27,G31,G35,G39,G43,G47)</f>
      </c>
      <c r="H48" s="24">
        <f>SUM(H19,H23,H27,H31,H35,H39,H43,H47)</f>
      </c>
      <c r="I48" s="24">
        <f>SUM(I19,I23,I27,I31,I35,I39,I43,I47)</f>
      </c>
      <c r="J48" s="24">
        <f>SUM(J19,J23,J27,J31,J35,J39,J43,J47)</f>
      </c>
      <c r="K48" s="24">
        <f>SUM(K19,K23,K27,K31,K35,K39,K43,K47)</f>
      </c>
      <c r="L48" s="24">
        <f>SUM(L19,L23,L27,L31,L35,L39,L43,L47)</f>
      </c>
      <c r="M48" s="24">
        <f>SUM(M19,M23,M27,M31,M35,M39,M43,M47)</f>
      </c>
      <c r="N48" s="24">
        <f>SUM(N19,N23,N27,N31,N35,N39,N43,N47)</f>
      </c>
    </row>
  </sheetData>
  <mergeCells count="27">
    <mergeCell ref="A2:P2"/>
    <mergeCell ref="C5:D5"/>
    <mergeCell ref="E5:F5"/>
    <mergeCell ref="G5:H5"/>
    <mergeCell ref="I5:J5"/>
    <mergeCell ref="K5:L5"/>
    <mergeCell ref="M5:N5"/>
    <mergeCell ref="O5:P5"/>
    <mergeCell ref="A5:A6"/>
    <mergeCell ref="B5:B6"/>
    <mergeCell ref="A7:A9"/>
    <mergeCell ref="C14:D14"/>
    <mergeCell ref="E14:F14"/>
    <mergeCell ref="G14:H14"/>
    <mergeCell ref="I14:J14"/>
    <mergeCell ref="K14:L14"/>
    <mergeCell ref="M14:N14"/>
    <mergeCell ref="A14:A15"/>
    <mergeCell ref="B14:B15"/>
    <mergeCell ref="A16:A18"/>
    <mergeCell ref="A20:A22"/>
    <mergeCell ref="A24:A26"/>
    <mergeCell ref="A28:A30"/>
    <mergeCell ref="A32:A34"/>
    <mergeCell ref="A36:A38"/>
    <mergeCell ref="A40:A42"/>
    <mergeCell ref="A44:A46"/>
  </mergeCells>
  <dataValidations count="138">
    <dataValidation type="whole" operator="lessThanOrEqual" allowBlank="1" showErrorMessage="1" errorTitle="Mensagem de Erro" error="F não pode ser Superior a MF" sqref="F16">
      <formula1>E16</formula1>
    </dataValidation>
    <dataValidation type="whole" operator="lessThanOrEqual" allowBlank="1" showErrorMessage="1" errorTitle="Mensagem de Erro" error="F não pode ser Superior a MF" sqref="F17">
      <formula1>E17</formula1>
    </dataValidation>
    <dataValidation type="whole" operator="lessThanOrEqual" allowBlank="1" showErrorMessage="1" errorTitle="Mensagem de Erro" error="F não pode ser Superior a MF" sqref="F18">
      <formula1>E18</formula1>
    </dataValidation>
    <dataValidation type="whole" operator="lessThanOrEqual" allowBlank="1" showErrorMessage="1" errorTitle="Mensagem de Erro" error="F não pode ser Superior a MF" sqref="F20">
      <formula1>E20</formula1>
    </dataValidation>
    <dataValidation type="whole" operator="lessThanOrEqual" allowBlank="1" showErrorMessage="1" errorTitle="Mensagem de Erro" error="F não pode ser Superior a MF" sqref="F21">
      <formula1>E21</formula1>
    </dataValidation>
    <dataValidation type="whole" operator="lessThanOrEqual" allowBlank="1" showErrorMessage="1" errorTitle="Mensagem de Erro" error="F não pode ser Superior a MF" sqref="F22">
      <formula1>E22</formula1>
    </dataValidation>
    <dataValidation type="whole" operator="lessThanOrEqual" allowBlank="1" showErrorMessage="1" errorTitle="Mensagem de Erro" error="F não pode ser Superior a MF" sqref="F24">
      <formula1>E24</formula1>
    </dataValidation>
    <dataValidation type="whole" operator="lessThanOrEqual" allowBlank="1" showErrorMessage="1" errorTitle="Mensagem de Erro" error="F não pode ser Superior a MF" sqref="F25">
      <formula1>E25</formula1>
    </dataValidation>
    <dataValidation type="whole" operator="lessThanOrEqual" allowBlank="1" showErrorMessage="1" errorTitle="Mensagem de Erro" error="F não pode ser Superior a MF" sqref="F26">
      <formula1>E26</formula1>
    </dataValidation>
    <dataValidation type="whole" operator="lessThanOrEqual" allowBlank="1" showErrorMessage="1" errorTitle="Mensagem de Erro" error="F não pode ser Superior a MF" sqref="F28">
      <formula1>E28</formula1>
    </dataValidation>
    <dataValidation type="whole" operator="lessThanOrEqual" allowBlank="1" showErrorMessage="1" errorTitle="Mensagem de Erro" error="F não pode ser Superior a MF" sqref="F29">
      <formula1>E29</formula1>
    </dataValidation>
    <dataValidation type="whole" operator="lessThanOrEqual" allowBlank="1" showErrorMessage="1" errorTitle="Mensagem de Erro" error="F não pode ser Superior a MF" sqref="F30">
      <formula1>E30</formula1>
    </dataValidation>
    <dataValidation type="whole" operator="lessThanOrEqual" allowBlank="1" showErrorMessage="1" errorTitle="Mensagem de Erro" error="F não pode ser Superior a MF" sqref="F32">
      <formula1>E32</formula1>
    </dataValidation>
    <dataValidation type="whole" operator="lessThanOrEqual" allowBlank="1" showErrorMessage="1" errorTitle="Mensagem de Erro" error="F não pode ser Superior a MF" sqref="F33">
      <formula1>E33</formula1>
    </dataValidation>
    <dataValidation type="whole" operator="lessThanOrEqual" allowBlank="1" showErrorMessage="1" errorTitle="Mensagem de Erro" error="F não pode ser Superior a MF" sqref="F34">
      <formula1>E34</formula1>
    </dataValidation>
    <dataValidation type="whole" operator="lessThanOrEqual" allowBlank="1" showErrorMessage="1" errorTitle="Mensagem de Erro" error="F não pode ser Superior a MF" sqref="F36">
      <formula1>E36</formula1>
    </dataValidation>
    <dataValidation type="whole" operator="lessThanOrEqual" allowBlank="1" showErrorMessage="1" errorTitle="Mensagem de Erro" error="F não pode ser Superior a MF" sqref="F37">
      <formula1>E37</formula1>
    </dataValidation>
    <dataValidation type="whole" operator="lessThanOrEqual" allowBlank="1" showErrorMessage="1" errorTitle="Mensagem de Erro" error="F não pode ser Superior a MF" sqref="F38">
      <formula1>E38</formula1>
    </dataValidation>
    <dataValidation type="whole" operator="lessThanOrEqual" allowBlank="1" showErrorMessage="1" errorTitle="Mensagem de Erro" error="F não pode ser Superior a MF" sqref="F40">
      <formula1>E40</formula1>
    </dataValidation>
    <dataValidation type="whole" operator="lessThanOrEqual" allowBlank="1" showErrorMessage="1" errorTitle="Mensagem de Erro" error="F não pode ser Superior a MF" sqref="F41">
      <formula1>E41</formula1>
    </dataValidation>
    <dataValidation type="whole" operator="lessThanOrEqual" allowBlank="1" showErrorMessage="1" errorTitle="Mensagem de Erro" error="F não pode ser Superior a MF" sqref="F42">
      <formula1>E42</formula1>
    </dataValidation>
    <dataValidation type="whole" operator="lessThanOrEqual" allowBlank="1" showErrorMessage="1" errorTitle="Mensagem de Erro" error="F não pode ser Superior a MF" sqref="F44">
      <formula1>E44</formula1>
    </dataValidation>
    <dataValidation type="whole" operator="lessThanOrEqual" allowBlank="1" showErrorMessage="1" errorTitle="Mensagem de Erro" error="F não pode ser Superior a MF" sqref="F45">
      <formula1>E45</formula1>
    </dataValidation>
    <dataValidation type="whole" operator="lessThanOrEqual" allowBlank="1" showErrorMessage="1" errorTitle="Mensagem de Erro" error="F não pode ser Superior a MF" sqref="F46">
      <formula1>E46</formula1>
    </dataValidation>
    <dataValidation type="whole" operator="lessThanOrEqual" allowBlank="1" showErrorMessage="1" errorTitle="Mensagem de Erro" error="F não pode ser Superior a MF" sqref="F7">
      <formula1>E7</formula1>
    </dataValidation>
    <dataValidation type="whole" operator="lessThanOrEqual" allowBlank="1" showErrorMessage="1" errorTitle="Mensagem de Erro" error="F não pode ser Superior a MF" sqref="F8">
      <formula1>E8</formula1>
    </dataValidation>
    <dataValidation type="whole" operator="lessThanOrEqual" allowBlank="1" showErrorMessage="1" errorTitle="Mensagem de Erro" error="F não pode ser Superior a MF" sqref="F9">
      <formula1>E9</formula1>
    </dataValidation>
    <dataValidation type="whole" operator="lessThanOrEqual" allowBlank="1" showErrorMessage="1" errorTitle="Mensagem de Erro" error="F não pode ser Superior a MF" sqref="H16">
      <formula1>G16</formula1>
    </dataValidation>
    <dataValidation type="whole" operator="lessThanOrEqual" allowBlank="1" showErrorMessage="1" errorTitle="Mensagem de Erro" error="F não pode ser Superior a MF" sqref="H17">
      <formula1>G17</formula1>
    </dataValidation>
    <dataValidation type="whole" operator="lessThanOrEqual" allowBlank="1" showErrorMessage="1" errorTitle="Mensagem de Erro" error="F não pode ser Superior a MF" sqref="H18">
      <formula1>G18</formula1>
    </dataValidation>
    <dataValidation type="whole" operator="lessThanOrEqual" allowBlank="1" showErrorMessage="1" errorTitle="Mensagem de Erro" error="F não pode ser Superior a MF" sqref="H20">
      <formula1>G20</formula1>
    </dataValidation>
    <dataValidation type="whole" operator="lessThanOrEqual" allowBlank="1" showErrorMessage="1" errorTitle="Mensagem de Erro" error="F não pode ser Superior a MF" sqref="H21">
      <formula1>G21</formula1>
    </dataValidation>
    <dataValidation type="whole" operator="lessThanOrEqual" allowBlank="1" showErrorMessage="1" errorTitle="Mensagem de Erro" error="F não pode ser Superior a MF" sqref="H22">
      <formula1>G22</formula1>
    </dataValidation>
    <dataValidation type="whole" operator="lessThanOrEqual" allowBlank="1" showErrorMessage="1" errorTitle="Mensagem de Erro" error="F não pode ser Superior a MF" sqref="H24">
      <formula1>G24</formula1>
    </dataValidation>
    <dataValidation type="whole" operator="lessThanOrEqual" allowBlank="1" showErrorMessage="1" errorTitle="Mensagem de Erro" error="F não pode ser Superior a MF" sqref="H25">
      <formula1>G25</formula1>
    </dataValidation>
    <dataValidation type="whole" operator="lessThanOrEqual" allowBlank="1" showErrorMessage="1" errorTitle="Mensagem de Erro" error="F não pode ser Superior a MF" sqref="H26">
      <formula1>G26</formula1>
    </dataValidation>
    <dataValidation type="whole" operator="lessThanOrEqual" allowBlank="1" showErrorMessage="1" errorTitle="Mensagem de Erro" error="F não pode ser Superior a MF" sqref="H28">
      <formula1>G28</formula1>
    </dataValidation>
    <dataValidation type="whole" operator="lessThanOrEqual" allowBlank="1" showErrorMessage="1" errorTitle="Mensagem de Erro" error="F não pode ser Superior a MF" sqref="H29">
      <formula1>G29</formula1>
    </dataValidation>
    <dataValidation type="whole" operator="lessThanOrEqual" allowBlank="1" showErrorMessage="1" errorTitle="Mensagem de Erro" error="F não pode ser Superior a MF" sqref="H30">
      <formula1>G30</formula1>
    </dataValidation>
    <dataValidation type="whole" operator="lessThanOrEqual" allowBlank="1" showErrorMessage="1" errorTitle="Mensagem de Erro" error="F não pode ser Superior a MF" sqref="H32">
      <formula1>G32</formula1>
    </dataValidation>
    <dataValidation type="whole" operator="lessThanOrEqual" allowBlank="1" showErrorMessage="1" errorTitle="Mensagem de Erro" error="F não pode ser Superior a MF" sqref="H33">
      <formula1>G33</formula1>
    </dataValidation>
    <dataValidation type="whole" operator="lessThanOrEqual" allowBlank="1" showErrorMessage="1" errorTitle="Mensagem de Erro" error="F não pode ser Superior a MF" sqref="H34">
      <formula1>G34</formula1>
    </dataValidation>
    <dataValidation type="whole" operator="lessThanOrEqual" allowBlank="1" showErrorMessage="1" errorTitle="Mensagem de Erro" error="F não pode ser Superior a MF" sqref="H36">
      <formula1>G36</formula1>
    </dataValidation>
    <dataValidation type="whole" operator="lessThanOrEqual" allowBlank="1" showErrorMessage="1" errorTitle="Mensagem de Erro" error="F não pode ser Superior a MF" sqref="H37">
      <formula1>G37</formula1>
    </dataValidation>
    <dataValidation type="whole" operator="lessThanOrEqual" allowBlank="1" showErrorMessage="1" errorTitle="Mensagem de Erro" error="F não pode ser Superior a MF" sqref="H38">
      <formula1>G38</formula1>
    </dataValidation>
    <dataValidation type="whole" operator="lessThanOrEqual" allowBlank="1" showErrorMessage="1" errorTitle="Mensagem de Erro" error="F não pode ser Superior a MF" sqref="H40">
      <formula1>G40</formula1>
    </dataValidation>
    <dataValidation type="whole" operator="lessThanOrEqual" allowBlank="1" showErrorMessage="1" errorTitle="Mensagem de Erro" error="F não pode ser Superior a MF" sqref="H41">
      <formula1>G41</formula1>
    </dataValidation>
    <dataValidation type="whole" operator="lessThanOrEqual" allowBlank="1" showErrorMessage="1" errorTitle="Mensagem de Erro" error="F não pode ser Superior a MF" sqref="H42">
      <formula1>G42</formula1>
    </dataValidation>
    <dataValidation type="whole" operator="lessThanOrEqual" allowBlank="1" showErrorMessage="1" errorTitle="Mensagem de Erro" error="F não pode ser Superior a MF" sqref="H44">
      <formula1>G44</formula1>
    </dataValidation>
    <dataValidation type="whole" operator="lessThanOrEqual" allowBlank="1" showErrorMessage="1" errorTitle="Mensagem de Erro" error="F não pode ser Superior a MF" sqref="H45">
      <formula1>G45</formula1>
    </dataValidation>
    <dataValidation type="whole" operator="lessThanOrEqual" allowBlank="1" showErrorMessage="1" errorTitle="Mensagem de Erro" error="F não pode ser Superior a MF" sqref="H46">
      <formula1>G46</formula1>
    </dataValidation>
    <dataValidation type="whole" operator="lessThanOrEqual" allowBlank="1" showErrorMessage="1" errorTitle="Mensagem de Erro" error="F não pode ser Superior a MF" sqref="H7">
      <formula1>G7</formula1>
    </dataValidation>
    <dataValidation type="whole" operator="lessThanOrEqual" allowBlank="1" showErrorMessage="1" errorTitle="Mensagem de Erro" error="F não pode ser Superior a MF" sqref="H8">
      <formula1>G8</formula1>
    </dataValidation>
    <dataValidation type="whole" operator="lessThanOrEqual" allowBlank="1" showErrorMessage="1" errorTitle="Mensagem de Erro" error="F não pode ser Superior a MF" sqref="H9">
      <formula1>G9</formula1>
    </dataValidation>
    <dataValidation type="whole" operator="lessThanOrEqual" allowBlank="1" showErrorMessage="1" errorTitle="Mensagem de Erro" error="F não pode ser Superior a MF" sqref="J16">
      <formula1>I16</formula1>
    </dataValidation>
    <dataValidation type="whole" operator="lessThanOrEqual" allowBlank="1" showErrorMessage="1" errorTitle="Mensagem de Erro" error="F não pode ser Superior a MF" sqref="J17">
      <formula1>I17</formula1>
    </dataValidation>
    <dataValidation type="whole" operator="lessThanOrEqual" allowBlank="1" showErrorMessage="1" errorTitle="Mensagem de Erro" error="F não pode ser Superior a MF" sqref="J18">
      <formula1>I18</formula1>
    </dataValidation>
    <dataValidation type="whole" operator="lessThanOrEqual" allowBlank="1" showErrorMessage="1" errorTitle="Mensagem de Erro" error="F não pode ser Superior a MF" sqref="J20">
      <formula1>I20</formula1>
    </dataValidation>
    <dataValidation type="whole" operator="lessThanOrEqual" allowBlank="1" showErrorMessage="1" errorTitle="Mensagem de Erro" error="F não pode ser Superior a MF" sqref="J21">
      <formula1>I21</formula1>
    </dataValidation>
    <dataValidation type="whole" operator="lessThanOrEqual" allowBlank="1" showErrorMessage="1" errorTitle="Mensagem de Erro" error="F não pode ser Superior a MF" sqref="J22">
      <formula1>I22</formula1>
    </dataValidation>
    <dataValidation type="whole" operator="lessThanOrEqual" allowBlank="1" showErrorMessage="1" errorTitle="Mensagem de Erro" error="F não pode ser Superior a MF" sqref="J24">
      <formula1>I24</formula1>
    </dataValidation>
    <dataValidation type="whole" operator="lessThanOrEqual" allowBlank="1" showErrorMessage="1" errorTitle="Mensagem de Erro" error="F não pode ser Superior a MF" sqref="J25">
      <formula1>I25</formula1>
    </dataValidation>
    <dataValidation type="whole" operator="lessThanOrEqual" allowBlank="1" showErrorMessage="1" errorTitle="Mensagem de Erro" error="F não pode ser Superior a MF" sqref="J26">
      <formula1>I26</formula1>
    </dataValidation>
    <dataValidation type="whole" operator="lessThanOrEqual" allowBlank="1" showErrorMessage="1" errorTitle="Mensagem de Erro" error="F não pode ser Superior a MF" sqref="J28">
      <formula1>I28</formula1>
    </dataValidation>
    <dataValidation type="whole" operator="lessThanOrEqual" allowBlank="1" showErrorMessage="1" errorTitle="Mensagem de Erro" error="F não pode ser Superior a MF" sqref="J29">
      <formula1>I29</formula1>
    </dataValidation>
    <dataValidation type="whole" operator="lessThanOrEqual" allowBlank="1" showErrorMessage="1" errorTitle="Mensagem de Erro" error="F não pode ser Superior a MF" sqref="J30">
      <formula1>I30</formula1>
    </dataValidation>
    <dataValidation type="whole" operator="lessThanOrEqual" allowBlank="1" showErrorMessage="1" errorTitle="Mensagem de Erro" error="F não pode ser Superior a MF" sqref="J32">
      <formula1>I32</formula1>
    </dataValidation>
    <dataValidation type="whole" operator="lessThanOrEqual" allowBlank="1" showErrorMessage="1" errorTitle="Mensagem de Erro" error="F não pode ser Superior a MF" sqref="J33">
      <formula1>I33</formula1>
    </dataValidation>
    <dataValidation type="whole" operator="lessThanOrEqual" allowBlank="1" showErrorMessage="1" errorTitle="Mensagem de Erro" error="F não pode ser Superior a MF" sqref="J34">
      <formula1>I34</formula1>
    </dataValidation>
    <dataValidation type="whole" operator="lessThanOrEqual" allowBlank="1" showErrorMessage="1" errorTitle="Mensagem de Erro" error="F não pode ser Superior a MF" sqref="J36">
      <formula1>I36</formula1>
    </dataValidation>
    <dataValidation type="whole" operator="lessThanOrEqual" allowBlank="1" showErrorMessage="1" errorTitle="Mensagem de Erro" error="F não pode ser Superior a MF" sqref="J37">
      <formula1>I37</formula1>
    </dataValidation>
    <dataValidation type="whole" operator="lessThanOrEqual" allowBlank="1" showErrorMessage="1" errorTitle="Mensagem de Erro" error="F não pode ser Superior a MF" sqref="J38">
      <formula1>I38</formula1>
    </dataValidation>
    <dataValidation type="whole" operator="lessThanOrEqual" allowBlank="1" showErrorMessage="1" errorTitle="Mensagem de Erro" error="F não pode ser Superior a MF" sqref="J40">
      <formula1>I40</formula1>
    </dataValidation>
    <dataValidation type="whole" operator="lessThanOrEqual" allowBlank="1" showErrorMessage="1" errorTitle="Mensagem de Erro" error="F não pode ser Superior a MF" sqref="J41">
      <formula1>I41</formula1>
    </dataValidation>
    <dataValidation type="whole" operator="lessThanOrEqual" allowBlank="1" showErrorMessage="1" errorTitle="Mensagem de Erro" error="F não pode ser Superior a MF" sqref="J42">
      <formula1>I42</formula1>
    </dataValidation>
    <dataValidation type="whole" operator="lessThanOrEqual" allowBlank="1" showErrorMessage="1" errorTitle="Mensagem de Erro" error="F não pode ser Superior a MF" sqref="J44">
      <formula1>I44</formula1>
    </dataValidation>
    <dataValidation type="whole" operator="lessThanOrEqual" allowBlank="1" showErrorMessage="1" errorTitle="Mensagem de Erro" error="F não pode ser Superior a MF" sqref="J45">
      <formula1>I45</formula1>
    </dataValidation>
    <dataValidation type="whole" operator="lessThanOrEqual" allowBlank="1" showErrorMessage="1" errorTitle="Mensagem de Erro" error="F não pode ser Superior a MF" sqref="J46">
      <formula1>I46</formula1>
    </dataValidation>
    <dataValidation type="whole" operator="lessThanOrEqual" allowBlank="1" showErrorMessage="1" errorTitle="Mensagem de Erro" error="F não pode ser Superior a MF" sqref="J7">
      <formula1>I7</formula1>
    </dataValidation>
    <dataValidation type="whole" operator="lessThanOrEqual" allowBlank="1" showErrorMessage="1" errorTitle="Mensagem de Erro" error="F não pode ser Superior a MF" sqref="J8">
      <formula1>I8</formula1>
    </dataValidation>
    <dataValidation type="whole" operator="lessThanOrEqual" allowBlank="1" showErrorMessage="1" errorTitle="Mensagem de Erro" error="F não pode ser Superior a MF" sqref="J9">
      <formula1>I9</formula1>
    </dataValidation>
    <dataValidation type="whole" operator="lessThanOrEqual" allowBlank="1" showErrorMessage="1" errorTitle="Mensagem de Erro" error="F não pode ser Superior a MF" sqref="L16">
      <formula1>K16</formula1>
    </dataValidation>
    <dataValidation type="whole" operator="lessThanOrEqual" allowBlank="1" showErrorMessage="1" errorTitle="Mensagem de Erro" error="F não pode ser Superior a MF" sqref="L17">
      <formula1>K17</formula1>
    </dataValidation>
    <dataValidation type="whole" operator="lessThanOrEqual" allowBlank="1" showErrorMessage="1" errorTitle="Mensagem de Erro" error="F não pode ser Superior a MF" sqref="L18">
      <formula1>K18</formula1>
    </dataValidation>
    <dataValidation type="whole" operator="lessThanOrEqual" allowBlank="1" showErrorMessage="1" errorTitle="Mensagem de Erro" error="F não pode ser Superior a MF" sqref="L20">
      <formula1>K20</formula1>
    </dataValidation>
    <dataValidation type="whole" operator="lessThanOrEqual" allowBlank="1" showErrorMessage="1" errorTitle="Mensagem de Erro" error="F não pode ser Superior a MF" sqref="L21">
      <formula1>K21</formula1>
    </dataValidation>
    <dataValidation type="whole" operator="lessThanOrEqual" allowBlank="1" showErrorMessage="1" errorTitle="Mensagem de Erro" error="F não pode ser Superior a MF" sqref="L22">
      <formula1>K22</formula1>
    </dataValidation>
    <dataValidation type="whole" operator="lessThanOrEqual" allowBlank="1" showErrorMessage="1" errorTitle="Mensagem de Erro" error="F não pode ser Superior a MF" sqref="L24">
      <formula1>K24</formula1>
    </dataValidation>
    <dataValidation type="whole" operator="lessThanOrEqual" allowBlank="1" showErrorMessage="1" errorTitle="Mensagem de Erro" error="F não pode ser Superior a MF" sqref="L25">
      <formula1>K25</formula1>
    </dataValidation>
    <dataValidation type="whole" operator="lessThanOrEqual" allowBlank="1" showErrorMessage="1" errorTitle="Mensagem de Erro" error="F não pode ser Superior a MF" sqref="L26">
      <formula1>K26</formula1>
    </dataValidation>
    <dataValidation type="whole" operator="lessThanOrEqual" allowBlank="1" showErrorMessage="1" errorTitle="Mensagem de Erro" error="F não pode ser Superior a MF" sqref="L28">
      <formula1>K28</formula1>
    </dataValidation>
    <dataValidation type="whole" operator="lessThanOrEqual" allowBlank="1" showErrorMessage="1" errorTitle="Mensagem de Erro" error="F não pode ser Superior a MF" sqref="L29">
      <formula1>K29</formula1>
    </dataValidation>
    <dataValidation type="whole" operator="lessThanOrEqual" allowBlank="1" showErrorMessage="1" errorTitle="Mensagem de Erro" error="F não pode ser Superior a MF" sqref="L30">
      <formula1>K30</formula1>
    </dataValidation>
    <dataValidation type="whole" operator="lessThanOrEqual" allowBlank="1" showErrorMessage="1" errorTitle="Mensagem de Erro" error="F não pode ser Superior a MF" sqref="L32">
      <formula1>K32</formula1>
    </dataValidation>
    <dataValidation type="whole" operator="lessThanOrEqual" allowBlank="1" showErrorMessage="1" errorTitle="Mensagem de Erro" error="F não pode ser Superior a MF" sqref="L33">
      <formula1>K33</formula1>
    </dataValidation>
    <dataValidation type="whole" operator="lessThanOrEqual" allowBlank="1" showErrorMessage="1" errorTitle="Mensagem de Erro" error="F não pode ser Superior a MF" sqref="L34">
      <formula1>K34</formula1>
    </dataValidation>
    <dataValidation type="whole" operator="lessThanOrEqual" allowBlank="1" showErrorMessage="1" errorTitle="Mensagem de Erro" error="F não pode ser Superior a MF" sqref="L36">
      <formula1>K36</formula1>
    </dataValidation>
    <dataValidation type="whole" operator="lessThanOrEqual" allowBlank="1" showErrorMessage="1" errorTitle="Mensagem de Erro" error="F não pode ser Superior a MF" sqref="L37">
      <formula1>K37</formula1>
    </dataValidation>
    <dataValidation type="whole" operator="lessThanOrEqual" allowBlank="1" showErrorMessage="1" errorTitle="Mensagem de Erro" error="F não pode ser Superior a MF" sqref="L38">
      <formula1>K38</formula1>
    </dataValidation>
    <dataValidation type="whole" operator="lessThanOrEqual" allowBlank="1" showErrorMessage="1" errorTitle="Mensagem de Erro" error="F não pode ser Superior a MF" sqref="L40">
      <formula1>K40</formula1>
    </dataValidation>
    <dataValidation type="whole" operator="lessThanOrEqual" allowBlank="1" showErrorMessage="1" errorTitle="Mensagem de Erro" error="F não pode ser Superior a MF" sqref="L41">
      <formula1>K41</formula1>
    </dataValidation>
    <dataValidation type="whole" operator="lessThanOrEqual" allowBlank="1" showErrorMessage="1" errorTitle="Mensagem de Erro" error="F não pode ser Superior a MF" sqref="L42">
      <formula1>K42</formula1>
    </dataValidation>
    <dataValidation type="whole" operator="lessThanOrEqual" allowBlank="1" showErrorMessage="1" errorTitle="Mensagem de Erro" error="F não pode ser Superior a MF" sqref="L44">
      <formula1>K44</formula1>
    </dataValidation>
    <dataValidation type="whole" operator="lessThanOrEqual" allowBlank="1" showErrorMessage="1" errorTitle="Mensagem de Erro" error="F não pode ser Superior a MF" sqref="L45">
      <formula1>K45</formula1>
    </dataValidation>
    <dataValidation type="whole" operator="lessThanOrEqual" allowBlank="1" showErrorMessage="1" errorTitle="Mensagem de Erro" error="F não pode ser Superior a MF" sqref="L46">
      <formula1>K46</formula1>
    </dataValidation>
    <dataValidation type="whole" operator="lessThanOrEqual" allowBlank="1" showErrorMessage="1" errorTitle="Mensagem de Erro" error="F não pode ser Superior a MF" sqref="L7">
      <formula1>K7</formula1>
    </dataValidation>
    <dataValidation type="whole" operator="lessThanOrEqual" allowBlank="1" showErrorMessage="1" errorTitle="Mensagem de Erro" error="F não pode ser Superior a MF" sqref="L8">
      <formula1>K8</formula1>
    </dataValidation>
    <dataValidation type="whole" operator="lessThanOrEqual" allowBlank="1" showErrorMessage="1" errorTitle="Mensagem de Erro" error="F não pode ser Superior a MF" sqref="L9">
      <formula1>K9</formula1>
    </dataValidation>
    <dataValidation type="whole" operator="lessThanOrEqual" allowBlank="1" showErrorMessage="1" errorTitle="Mensagem de Erro" error="F não pode ser Superior a MF" sqref="N16">
      <formula1>M16</formula1>
    </dataValidation>
    <dataValidation type="whole" operator="lessThanOrEqual" allowBlank="1" showErrorMessage="1" errorTitle="Mensagem de Erro" error="F não pode ser Superior a MF" sqref="N17">
      <formula1>M17</formula1>
    </dataValidation>
    <dataValidation type="whole" operator="lessThanOrEqual" allowBlank="1" showErrorMessage="1" errorTitle="Mensagem de Erro" error="F não pode ser Superior a MF" sqref="N18">
      <formula1>M18</formula1>
    </dataValidation>
    <dataValidation type="whole" operator="lessThanOrEqual" allowBlank="1" showErrorMessage="1" errorTitle="Mensagem de Erro" error="F não pode ser Superior a MF" sqref="N20">
      <formula1>M20</formula1>
    </dataValidation>
    <dataValidation type="whole" operator="lessThanOrEqual" allowBlank="1" showErrorMessage="1" errorTitle="Mensagem de Erro" error="F não pode ser Superior a MF" sqref="N21">
      <formula1>M21</formula1>
    </dataValidation>
    <dataValidation type="whole" operator="lessThanOrEqual" allowBlank="1" showErrorMessage="1" errorTitle="Mensagem de Erro" error="F não pode ser Superior a MF" sqref="N22">
      <formula1>M22</formula1>
    </dataValidation>
    <dataValidation type="whole" operator="lessThanOrEqual" allowBlank="1" showErrorMessage="1" errorTitle="Mensagem de Erro" error="F não pode ser Superior a MF" sqref="N24">
      <formula1>M24</formula1>
    </dataValidation>
    <dataValidation type="whole" operator="lessThanOrEqual" allowBlank="1" showErrorMessage="1" errorTitle="Mensagem de Erro" error="F não pode ser Superior a MF" sqref="N25">
      <formula1>M25</formula1>
    </dataValidation>
    <dataValidation type="whole" operator="lessThanOrEqual" allowBlank="1" showErrorMessage="1" errorTitle="Mensagem de Erro" error="F não pode ser Superior a MF" sqref="N26">
      <formula1>M26</formula1>
    </dataValidation>
    <dataValidation type="whole" operator="lessThanOrEqual" allowBlank="1" showErrorMessage="1" errorTitle="Mensagem de Erro" error="F não pode ser Superior a MF" sqref="N28">
      <formula1>M28</formula1>
    </dataValidation>
    <dataValidation type="whole" operator="lessThanOrEqual" allowBlank="1" showErrorMessage="1" errorTitle="Mensagem de Erro" error="F não pode ser Superior a MF" sqref="N29">
      <formula1>M29</formula1>
    </dataValidation>
    <dataValidation type="whole" operator="lessThanOrEqual" allowBlank="1" showErrorMessage="1" errorTitle="Mensagem de Erro" error="F não pode ser Superior a MF" sqref="N30">
      <formula1>M30</formula1>
    </dataValidation>
    <dataValidation type="whole" operator="lessThanOrEqual" allowBlank="1" showErrorMessage="1" errorTitle="Mensagem de Erro" error="F não pode ser Superior a MF" sqref="N32">
      <formula1>M32</formula1>
    </dataValidation>
    <dataValidation type="whole" operator="lessThanOrEqual" allowBlank="1" showErrorMessage="1" errorTitle="Mensagem de Erro" error="F não pode ser Superior a MF" sqref="N33">
      <formula1>M33</formula1>
    </dataValidation>
    <dataValidation type="whole" operator="lessThanOrEqual" allowBlank="1" showErrorMessage="1" errorTitle="Mensagem de Erro" error="F não pode ser Superior a MF" sqref="N34">
      <formula1>M34</formula1>
    </dataValidation>
    <dataValidation type="whole" operator="lessThanOrEqual" allowBlank="1" showErrorMessage="1" errorTitle="Mensagem de Erro" error="F não pode ser Superior a MF" sqref="N36">
      <formula1>M36</formula1>
    </dataValidation>
    <dataValidation type="whole" operator="lessThanOrEqual" allowBlank="1" showErrorMessage="1" errorTitle="Mensagem de Erro" error="F não pode ser Superior a MF" sqref="N37">
      <formula1>M37</formula1>
    </dataValidation>
    <dataValidation type="whole" operator="lessThanOrEqual" allowBlank="1" showErrorMessage="1" errorTitle="Mensagem de Erro" error="F não pode ser Superior a MF" sqref="N38">
      <formula1>M38</formula1>
    </dataValidation>
    <dataValidation type="whole" operator="lessThanOrEqual" allowBlank="1" showErrorMessage="1" errorTitle="Mensagem de Erro" error="F não pode ser Superior a MF" sqref="N40">
      <formula1>M40</formula1>
    </dataValidation>
    <dataValidation type="whole" operator="lessThanOrEqual" allowBlank="1" showErrorMessage="1" errorTitle="Mensagem de Erro" error="F não pode ser Superior a MF" sqref="N41">
      <formula1>M41</formula1>
    </dataValidation>
    <dataValidation type="whole" operator="lessThanOrEqual" allowBlank="1" showErrorMessage="1" errorTitle="Mensagem de Erro" error="F não pode ser Superior a MF" sqref="N42">
      <formula1>M42</formula1>
    </dataValidation>
    <dataValidation type="whole" operator="lessThanOrEqual" allowBlank="1" showErrorMessage="1" errorTitle="Mensagem de Erro" error="F não pode ser Superior a MF" sqref="N44">
      <formula1>M44</formula1>
    </dataValidation>
    <dataValidation type="whole" operator="lessThanOrEqual" allowBlank="1" showErrorMessage="1" errorTitle="Mensagem de Erro" error="F não pode ser Superior a MF" sqref="N45">
      <formula1>M45</formula1>
    </dataValidation>
    <dataValidation type="whole" operator="lessThanOrEqual" allowBlank="1" showErrorMessage="1" errorTitle="Mensagem de Erro" error="F não pode ser Superior a MF" sqref="N46">
      <formula1>M46</formula1>
    </dataValidation>
    <dataValidation type="whole" operator="lessThanOrEqual" allowBlank="1" showErrorMessage="1" errorTitle="Mensagem de Erro" error="F não pode ser Superior a MF" sqref="N7">
      <formula1>M7</formula1>
    </dataValidation>
    <dataValidation type="whole" operator="lessThanOrEqual" allowBlank="1" showErrorMessage="1" errorTitle="Mensagem de Erro" error="F não pode ser Superior a MF" sqref="N8">
      <formula1>M8</formula1>
    </dataValidation>
    <dataValidation type="whole" operator="lessThanOrEqual" allowBlank="1" showErrorMessage="1" errorTitle="Mensagem de Erro" error="F não pode ser Superior a MF" sqref="N9">
      <formula1>M9</formula1>
    </dataValidation>
    <dataValidation type="whole" operator="lessThanOrEqual" allowBlank="1" showErrorMessage="1" errorTitle="Mensagem de Erro" error="F não pode ser Superior a MF" sqref="P7">
      <formula1>O7</formula1>
    </dataValidation>
    <dataValidation type="whole" operator="lessThanOrEqual" allowBlank="1" showErrorMessage="1" errorTitle="Mensagem de Erro" error="F não pode ser Superior a MF" sqref="P8">
      <formula1>O8</formula1>
    </dataValidation>
    <dataValidation type="whole" operator="lessThanOrEqual" allowBlank="1" showErrorMessage="1" errorTitle="Mensagem de Erro" error="F não pode ser Superior a MF" sqref="P9">
      <formula1>O9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05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5" customWidth="1"/>
    <col min="2" max="2" width="18" customWidth="1"/>
    <col min="3" max="3" width="22" customWidth="1"/>
    <col min="4" max="4" width="25" customWidth="1"/>
    <col min="5" max="5" width="28" customWidth="1"/>
    <col min="6" max="6" width="22" customWidth="1"/>
    <col min="7" max="7" width="24" customWidth="1"/>
    <col min="8" max="8" width="22" customWidth="1"/>
    <col min="9" max="9" width="20" customWidth="1"/>
    <col min="10" max="10" width="30" customWidth="1"/>
  </cols>
  <sheetData>
    <row r="2" spans="1:10" x14ac:dyDescent="0.25">
      <c r="A2" s="16" t="s">
        <v>414</v>
      </c>
      <c r="B2" s="16"/>
      <c r="C2" s="16"/>
      <c r="D2" s="16"/>
      <c r="E2" s="16"/>
      <c r="F2" s="16"/>
      <c r="G2" s="16"/>
      <c r="H2" s="16"/>
      <c r="I2" s="16"/>
      <c r="J2" s="16"/>
    </row>
    <row r="4" ht="36" customHeight="1" spans="1:10" x14ac:dyDescent="0.25">
      <c r="A4" s="19" t="s">
        <v>415</v>
      </c>
      <c r="B4" s="19" t="s">
        <v>416</v>
      </c>
      <c r="C4" s="19" t="s">
        <v>168</v>
      </c>
      <c r="D4" s="19" t="s">
        <v>417</v>
      </c>
      <c r="E4" s="19" t="s">
        <v>418</v>
      </c>
      <c r="F4" s="19" t="s">
        <v>419</v>
      </c>
      <c r="G4" s="19" t="s">
        <v>420</v>
      </c>
      <c r="H4" s="19" t="s">
        <v>421</v>
      </c>
      <c r="I4" s="19" t="s">
        <v>422</v>
      </c>
      <c r="J4" s="19" t="s">
        <v>423</v>
      </c>
    </row>
    <row r="5" spans="1:10" x14ac:dyDescent="0.25">
      <c r="A5" s="34" t="s">
        <v>6</v>
      </c>
      <c r="B5" s="35" t="s">
        <v>6</v>
      </c>
      <c r="C5" s="34" t="s">
        <v>6</v>
      </c>
      <c r="D5" s="34" t="s">
        <v>6</v>
      </c>
      <c r="E5" s="34" t="s">
        <v>6</v>
      </c>
      <c r="F5" s="34" t="s">
        <v>6</v>
      </c>
      <c r="G5" s="35" t="s">
        <v>6</v>
      </c>
      <c r="H5" s="35" t="s">
        <v>6</v>
      </c>
      <c r="I5" s="35" t="s">
        <v>6</v>
      </c>
      <c r="J5" s="34" t="s">
        <v>6</v>
      </c>
    </row>
    <row r="6" spans="1:10" x14ac:dyDescent="0.25">
      <c r="A6" s="34" t="s">
        <v>6</v>
      </c>
      <c r="B6" s="35" t="s">
        <v>6</v>
      </c>
      <c r="C6" s="34" t="s">
        <v>6</v>
      </c>
      <c r="D6" s="34" t="s">
        <v>6</v>
      </c>
      <c r="E6" s="34" t="s">
        <v>6</v>
      </c>
      <c r="F6" s="34" t="s">
        <v>6</v>
      </c>
      <c r="G6" s="35" t="s">
        <v>6</v>
      </c>
      <c r="H6" s="35" t="s">
        <v>6</v>
      </c>
      <c r="I6" s="35" t="s">
        <v>6</v>
      </c>
      <c r="J6" s="34" t="s">
        <v>6</v>
      </c>
    </row>
    <row r="7" spans="1:10" x14ac:dyDescent="0.25">
      <c r="A7" s="34" t="s">
        <v>6</v>
      </c>
      <c r="B7" s="35" t="s">
        <v>6</v>
      </c>
      <c r="C7" s="34" t="s">
        <v>6</v>
      </c>
      <c r="D7" s="34" t="s">
        <v>6</v>
      </c>
      <c r="E7" s="34" t="s">
        <v>6</v>
      </c>
      <c r="F7" s="34" t="s">
        <v>6</v>
      </c>
      <c r="G7" s="35" t="s">
        <v>6</v>
      </c>
      <c r="H7" s="35" t="s">
        <v>6</v>
      </c>
      <c r="I7" s="35" t="s">
        <v>6</v>
      </c>
      <c r="J7" s="34" t="s">
        <v>6</v>
      </c>
    </row>
    <row r="8" spans="1:10" x14ac:dyDescent="0.25">
      <c r="A8" s="34" t="s">
        <v>6</v>
      </c>
      <c r="B8" s="35" t="s">
        <v>6</v>
      </c>
      <c r="C8" s="34" t="s">
        <v>6</v>
      </c>
      <c r="D8" s="34" t="s">
        <v>6</v>
      </c>
      <c r="E8" s="34" t="s">
        <v>6</v>
      </c>
      <c r="F8" s="34" t="s">
        <v>6</v>
      </c>
      <c r="G8" s="35" t="s">
        <v>6</v>
      </c>
      <c r="H8" s="35" t="s">
        <v>6</v>
      </c>
      <c r="I8" s="35" t="s">
        <v>6</v>
      </c>
      <c r="J8" s="34" t="s">
        <v>6</v>
      </c>
    </row>
    <row r="9" spans="1:10" x14ac:dyDescent="0.25">
      <c r="A9" s="34" t="s">
        <v>6</v>
      </c>
      <c r="B9" s="35" t="s">
        <v>6</v>
      </c>
      <c r="C9" s="34" t="s">
        <v>6</v>
      </c>
      <c r="D9" s="34" t="s">
        <v>6</v>
      </c>
      <c r="E9" s="34" t="s">
        <v>6</v>
      </c>
      <c r="F9" s="34" t="s">
        <v>6</v>
      </c>
      <c r="G9" s="35" t="s">
        <v>6</v>
      </c>
      <c r="H9" s="35" t="s">
        <v>6</v>
      </c>
      <c r="I9" s="35" t="s">
        <v>6</v>
      </c>
      <c r="J9" s="34" t="s">
        <v>6</v>
      </c>
    </row>
    <row r="10" spans="1:10" x14ac:dyDescent="0.25">
      <c r="A10" s="34" t="s">
        <v>6</v>
      </c>
      <c r="B10" s="35" t="s">
        <v>6</v>
      </c>
      <c r="C10" s="34" t="s">
        <v>6</v>
      </c>
      <c r="D10" s="34" t="s">
        <v>6</v>
      </c>
      <c r="E10" s="34" t="s">
        <v>6</v>
      </c>
      <c r="F10" s="34" t="s">
        <v>6</v>
      </c>
      <c r="G10" s="35" t="s">
        <v>6</v>
      </c>
      <c r="H10" s="35" t="s">
        <v>6</v>
      </c>
      <c r="I10" s="35" t="s">
        <v>6</v>
      </c>
      <c r="J10" s="34" t="s">
        <v>6</v>
      </c>
    </row>
    <row r="11" spans="1:10" x14ac:dyDescent="0.25">
      <c r="A11" s="34" t="s">
        <v>6</v>
      </c>
      <c r="B11" s="35" t="s">
        <v>6</v>
      </c>
      <c r="C11" s="34" t="s">
        <v>6</v>
      </c>
      <c r="D11" s="34" t="s">
        <v>6</v>
      </c>
      <c r="E11" s="34" t="s">
        <v>6</v>
      </c>
      <c r="F11" s="34" t="s">
        <v>6</v>
      </c>
      <c r="G11" s="35" t="s">
        <v>6</v>
      </c>
      <c r="H11" s="35" t="s">
        <v>6</v>
      </c>
      <c r="I11" s="35" t="s">
        <v>6</v>
      </c>
      <c r="J11" s="34" t="s">
        <v>6</v>
      </c>
    </row>
    <row r="12" spans="1:10" x14ac:dyDescent="0.25">
      <c r="A12" s="34" t="s">
        <v>6</v>
      </c>
      <c r="B12" s="35" t="s">
        <v>6</v>
      </c>
      <c r="C12" s="34" t="s">
        <v>6</v>
      </c>
      <c r="D12" s="34" t="s">
        <v>6</v>
      </c>
      <c r="E12" s="34" t="s">
        <v>6</v>
      </c>
      <c r="F12" s="34" t="s">
        <v>6</v>
      </c>
      <c r="G12" s="35" t="s">
        <v>6</v>
      </c>
      <c r="H12" s="35" t="s">
        <v>6</v>
      </c>
      <c r="I12" s="35" t="s">
        <v>6</v>
      </c>
      <c r="J12" s="34" t="s">
        <v>6</v>
      </c>
    </row>
    <row r="13" spans="1:10" x14ac:dyDescent="0.25">
      <c r="A13" s="34" t="s">
        <v>6</v>
      </c>
      <c r="B13" s="35" t="s">
        <v>6</v>
      </c>
      <c r="C13" s="34" t="s">
        <v>6</v>
      </c>
      <c r="D13" s="34" t="s">
        <v>6</v>
      </c>
      <c r="E13" s="34" t="s">
        <v>6</v>
      </c>
      <c r="F13" s="34" t="s">
        <v>6</v>
      </c>
      <c r="G13" s="35" t="s">
        <v>6</v>
      </c>
      <c r="H13" s="35" t="s">
        <v>6</v>
      </c>
      <c r="I13" s="35" t="s">
        <v>6</v>
      </c>
      <c r="J13" s="34" t="s">
        <v>6</v>
      </c>
    </row>
    <row r="14" spans="1:10" x14ac:dyDescent="0.25">
      <c r="A14" s="34" t="s">
        <v>6</v>
      </c>
      <c r="B14" s="35" t="s">
        <v>6</v>
      </c>
      <c r="C14" s="34" t="s">
        <v>6</v>
      </c>
      <c r="D14" s="34" t="s">
        <v>6</v>
      </c>
      <c r="E14" s="34" t="s">
        <v>6</v>
      </c>
      <c r="F14" s="34" t="s">
        <v>6</v>
      </c>
      <c r="G14" s="35" t="s">
        <v>6</v>
      </c>
      <c r="H14" s="35" t="s">
        <v>6</v>
      </c>
      <c r="I14" s="35" t="s">
        <v>6</v>
      </c>
      <c r="J14" s="34" t="s">
        <v>6</v>
      </c>
    </row>
    <row r="15" spans="1:10" x14ac:dyDescent="0.25">
      <c r="A15" s="34" t="s">
        <v>6</v>
      </c>
      <c r="B15" s="35" t="s">
        <v>6</v>
      </c>
      <c r="C15" s="34" t="s">
        <v>6</v>
      </c>
      <c r="D15" s="34" t="s">
        <v>6</v>
      </c>
      <c r="E15" s="34" t="s">
        <v>6</v>
      </c>
      <c r="F15" s="34" t="s">
        <v>6</v>
      </c>
      <c r="G15" s="35" t="s">
        <v>6</v>
      </c>
      <c r="H15" s="35" t="s">
        <v>6</v>
      </c>
      <c r="I15" s="35" t="s">
        <v>6</v>
      </c>
      <c r="J15" s="34" t="s">
        <v>6</v>
      </c>
    </row>
    <row r="16" spans="1:10" x14ac:dyDescent="0.25">
      <c r="A16" s="34" t="s">
        <v>6</v>
      </c>
      <c r="B16" s="35" t="s">
        <v>6</v>
      </c>
      <c r="C16" s="34" t="s">
        <v>6</v>
      </c>
      <c r="D16" s="34" t="s">
        <v>6</v>
      </c>
      <c r="E16" s="34" t="s">
        <v>6</v>
      </c>
      <c r="F16" s="34" t="s">
        <v>6</v>
      </c>
      <c r="G16" s="35" t="s">
        <v>6</v>
      </c>
      <c r="H16" s="35" t="s">
        <v>6</v>
      </c>
      <c r="I16" s="35" t="s">
        <v>6</v>
      </c>
      <c r="J16" s="34" t="s">
        <v>6</v>
      </c>
    </row>
    <row r="17" spans="1:10" x14ac:dyDescent="0.25">
      <c r="A17" s="34" t="s">
        <v>6</v>
      </c>
      <c r="B17" s="35" t="s">
        <v>6</v>
      </c>
      <c r="C17" s="34" t="s">
        <v>6</v>
      </c>
      <c r="D17" s="34" t="s">
        <v>6</v>
      </c>
      <c r="E17" s="34" t="s">
        <v>6</v>
      </c>
      <c r="F17" s="34" t="s">
        <v>6</v>
      </c>
      <c r="G17" s="35" t="s">
        <v>6</v>
      </c>
      <c r="H17" s="35" t="s">
        <v>6</v>
      </c>
      <c r="I17" s="35" t="s">
        <v>6</v>
      </c>
      <c r="J17" s="34" t="s">
        <v>6</v>
      </c>
    </row>
    <row r="18" spans="1:10" x14ac:dyDescent="0.25">
      <c r="A18" s="34" t="s">
        <v>6</v>
      </c>
      <c r="B18" s="35" t="s">
        <v>6</v>
      </c>
      <c r="C18" s="34" t="s">
        <v>6</v>
      </c>
      <c r="D18" s="34" t="s">
        <v>6</v>
      </c>
      <c r="E18" s="34" t="s">
        <v>6</v>
      </c>
      <c r="F18" s="34" t="s">
        <v>6</v>
      </c>
      <c r="G18" s="35" t="s">
        <v>6</v>
      </c>
      <c r="H18" s="35" t="s">
        <v>6</v>
      </c>
      <c r="I18" s="35" t="s">
        <v>6</v>
      </c>
      <c r="J18" s="34" t="s">
        <v>6</v>
      </c>
    </row>
    <row r="19" spans="1:10" x14ac:dyDescent="0.25">
      <c r="A19" s="34" t="s">
        <v>6</v>
      </c>
      <c r="B19" s="35" t="s">
        <v>6</v>
      </c>
      <c r="C19" s="34" t="s">
        <v>6</v>
      </c>
      <c r="D19" s="34" t="s">
        <v>6</v>
      </c>
      <c r="E19" s="34" t="s">
        <v>6</v>
      </c>
      <c r="F19" s="34" t="s">
        <v>6</v>
      </c>
      <c r="G19" s="35" t="s">
        <v>6</v>
      </c>
      <c r="H19" s="35" t="s">
        <v>6</v>
      </c>
      <c r="I19" s="35" t="s">
        <v>6</v>
      </c>
      <c r="J19" s="34" t="s">
        <v>6</v>
      </c>
    </row>
    <row r="20" spans="1:10" x14ac:dyDescent="0.25">
      <c r="A20" s="34" t="s">
        <v>6</v>
      </c>
      <c r="B20" s="35" t="s">
        <v>6</v>
      </c>
      <c r="C20" s="34" t="s">
        <v>6</v>
      </c>
      <c r="D20" s="34" t="s">
        <v>6</v>
      </c>
      <c r="E20" s="34" t="s">
        <v>6</v>
      </c>
      <c r="F20" s="34" t="s">
        <v>6</v>
      </c>
      <c r="G20" s="35" t="s">
        <v>6</v>
      </c>
      <c r="H20" s="35" t="s">
        <v>6</v>
      </c>
      <c r="I20" s="35" t="s">
        <v>6</v>
      </c>
      <c r="J20" s="34" t="s">
        <v>6</v>
      </c>
    </row>
    <row r="21" spans="1:10" x14ac:dyDescent="0.25">
      <c r="A21" s="34" t="s">
        <v>6</v>
      </c>
      <c r="B21" s="35" t="s">
        <v>6</v>
      </c>
      <c r="C21" s="34" t="s">
        <v>6</v>
      </c>
      <c r="D21" s="34" t="s">
        <v>6</v>
      </c>
      <c r="E21" s="34" t="s">
        <v>6</v>
      </c>
      <c r="F21" s="34" t="s">
        <v>6</v>
      </c>
      <c r="G21" s="35" t="s">
        <v>6</v>
      </c>
      <c r="H21" s="35" t="s">
        <v>6</v>
      </c>
      <c r="I21" s="35" t="s">
        <v>6</v>
      </c>
      <c r="J21" s="34" t="s">
        <v>6</v>
      </c>
    </row>
    <row r="22" spans="1:10" x14ac:dyDescent="0.25">
      <c r="A22" s="34" t="s">
        <v>6</v>
      </c>
      <c r="B22" s="35" t="s">
        <v>6</v>
      </c>
      <c r="C22" s="34" t="s">
        <v>6</v>
      </c>
      <c r="D22" s="34" t="s">
        <v>6</v>
      </c>
      <c r="E22" s="34" t="s">
        <v>6</v>
      </c>
      <c r="F22" s="34" t="s">
        <v>6</v>
      </c>
      <c r="G22" s="35" t="s">
        <v>6</v>
      </c>
      <c r="H22" s="35" t="s">
        <v>6</v>
      </c>
      <c r="I22" s="35" t="s">
        <v>6</v>
      </c>
      <c r="J22" s="34" t="s">
        <v>6</v>
      </c>
    </row>
    <row r="23" spans="1:10" x14ac:dyDescent="0.25">
      <c r="A23" s="34" t="s">
        <v>6</v>
      </c>
      <c r="B23" s="35" t="s">
        <v>6</v>
      </c>
      <c r="C23" s="34" t="s">
        <v>6</v>
      </c>
      <c r="D23" s="34" t="s">
        <v>6</v>
      </c>
      <c r="E23" s="34" t="s">
        <v>6</v>
      </c>
      <c r="F23" s="34" t="s">
        <v>6</v>
      </c>
      <c r="G23" s="35" t="s">
        <v>6</v>
      </c>
      <c r="H23" s="35" t="s">
        <v>6</v>
      </c>
      <c r="I23" s="35" t="s">
        <v>6</v>
      </c>
      <c r="J23" s="34" t="s">
        <v>6</v>
      </c>
    </row>
    <row r="24" spans="1:10" x14ac:dyDescent="0.25">
      <c r="A24" s="34" t="s">
        <v>6</v>
      </c>
      <c r="B24" s="35" t="s">
        <v>6</v>
      </c>
      <c r="C24" s="34" t="s">
        <v>6</v>
      </c>
      <c r="D24" s="34" t="s">
        <v>6</v>
      </c>
      <c r="E24" s="34" t="s">
        <v>6</v>
      </c>
      <c r="F24" s="34" t="s">
        <v>6</v>
      </c>
      <c r="G24" s="35" t="s">
        <v>6</v>
      </c>
      <c r="H24" s="35" t="s">
        <v>6</v>
      </c>
      <c r="I24" s="35" t="s">
        <v>6</v>
      </c>
      <c r="J24" s="34" t="s">
        <v>6</v>
      </c>
    </row>
    <row r="25" spans="1:10" x14ac:dyDescent="0.25">
      <c r="A25" s="34" t="s">
        <v>6</v>
      </c>
      <c r="B25" s="35" t="s">
        <v>6</v>
      </c>
      <c r="C25" s="34" t="s">
        <v>6</v>
      </c>
      <c r="D25" s="34" t="s">
        <v>6</v>
      </c>
      <c r="E25" s="34" t="s">
        <v>6</v>
      </c>
      <c r="F25" s="34" t="s">
        <v>6</v>
      </c>
      <c r="G25" s="35" t="s">
        <v>6</v>
      </c>
      <c r="H25" s="35" t="s">
        <v>6</v>
      </c>
      <c r="I25" s="35" t="s">
        <v>6</v>
      </c>
      <c r="J25" s="34" t="s">
        <v>6</v>
      </c>
    </row>
    <row r="26" spans="1:10" x14ac:dyDescent="0.25">
      <c r="A26" s="34" t="s">
        <v>6</v>
      </c>
      <c r="B26" s="35" t="s">
        <v>6</v>
      </c>
      <c r="C26" s="34" t="s">
        <v>6</v>
      </c>
      <c r="D26" s="34" t="s">
        <v>6</v>
      </c>
      <c r="E26" s="34" t="s">
        <v>6</v>
      </c>
      <c r="F26" s="34" t="s">
        <v>6</v>
      </c>
      <c r="G26" s="35" t="s">
        <v>6</v>
      </c>
      <c r="H26" s="35" t="s">
        <v>6</v>
      </c>
      <c r="I26" s="35" t="s">
        <v>6</v>
      </c>
      <c r="J26" s="34" t="s">
        <v>6</v>
      </c>
    </row>
    <row r="27" spans="1:10" x14ac:dyDescent="0.25">
      <c r="A27" s="34" t="s">
        <v>6</v>
      </c>
      <c r="B27" s="35" t="s">
        <v>6</v>
      </c>
      <c r="C27" s="34" t="s">
        <v>6</v>
      </c>
      <c r="D27" s="34" t="s">
        <v>6</v>
      </c>
      <c r="E27" s="34" t="s">
        <v>6</v>
      </c>
      <c r="F27" s="34" t="s">
        <v>6</v>
      </c>
      <c r="G27" s="35" t="s">
        <v>6</v>
      </c>
      <c r="H27" s="35" t="s">
        <v>6</v>
      </c>
      <c r="I27" s="35" t="s">
        <v>6</v>
      </c>
      <c r="J27" s="34" t="s">
        <v>6</v>
      </c>
    </row>
    <row r="28" spans="1:10" x14ac:dyDescent="0.25">
      <c r="A28" s="34" t="s">
        <v>6</v>
      </c>
      <c r="B28" s="35" t="s">
        <v>6</v>
      </c>
      <c r="C28" s="34" t="s">
        <v>6</v>
      </c>
      <c r="D28" s="34" t="s">
        <v>6</v>
      </c>
      <c r="E28" s="34" t="s">
        <v>6</v>
      </c>
      <c r="F28" s="34" t="s">
        <v>6</v>
      </c>
      <c r="G28" s="35" t="s">
        <v>6</v>
      </c>
      <c r="H28" s="35" t="s">
        <v>6</v>
      </c>
      <c r="I28" s="35" t="s">
        <v>6</v>
      </c>
      <c r="J28" s="34" t="s">
        <v>6</v>
      </c>
    </row>
    <row r="29" spans="1:10" x14ac:dyDescent="0.25">
      <c r="A29" s="34" t="s">
        <v>6</v>
      </c>
      <c r="B29" s="35" t="s">
        <v>6</v>
      </c>
      <c r="C29" s="34" t="s">
        <v>6</v>
      </c>
      <c r="D29" s="34" t="s">
        <v>6</v>
      </c>
      <c r="E29" s="34" t="s">
        <v>6</v>
      </c>
      <c r="F29" s="34" t="s">
        <v>6</v>
      </c>
      <c r="G29" s="35" t="s">
        <v>6</v>
      </c>
      <c r="H29" s="35" t="s">
        <v>6</v>
      </c>
      <c r="I29" s="35" t="s">
        <v>6</v>
      </c>
      <c r="J29" s="34" t="s">
        <v>6</v>
      </c>
    </row>
    <row r="30" spans="1:10" x14ac:dyDescent="0.25">
      <c r="A30" s="34" t="s">
        <v>6</v>
      </c>
      <c r="B30" s="35" t="s">
        <v>6</v>
      </c>
      <c r="C30" s="34" t="s">
        <v>6</v>
      </c>
      <c r="D30" s="34" t="s">
        <v>6</v>
      </c>
      <c r="E30" s="34" t="s">
        <v>6</v>
      </c>
      <c r="F30" s="34" t="s">
        <v>6</v>
      </c>
      <c r="G30" s="35" t="s">
        <v>6</v>
      </c>
      <c r="H30" s="35" t="s">
        <v>6</v>
      </c>
      <c r="I30" s="35" t="s">
        <v>6</v>
      </c>
      <c r="J30" s="34" t="s">
        <v>6</v>
      </c>
    </row>
    <row r="31" spans="1:10" x14ac:dyDescent="0.25">
      <c r="A31" s="34" t="s">
        <v>6</v>
      </c>
      <c r="B31" s="35" t="s">
        <v>6</v>
      </c>
      <c r="C31" s="34" t="s">
        <v>6</v>
      </c>
      <c r="D31" s="34" t="s">
        <v>6</v>
      </c>
      <c r="E31" s="34" t="s">
        <v>6</v>
      </c>
      <c r="F31" s="34" t="s">
        <v>6</v>
      </c>
      <c r="G31" s="35" t="s">
        <v>6</v>
      </c>
      <c r="H31" s="35" t="s">
        <v>6</v>
      </c>
      <c r="I31" s="35" t="s">
        <v>6</v>
      </c>
      <c r="J31" s="34" t="s">
        <v>6</v>
      </c>
    </row>
    <row r="32" spans="1:10" x14ac:dyDescent="0.25">
      <c r="A32" s="34" t="s">
        <v>6</v>
      </c>
      <c r="B32" s="35" t="s">
        <v>6</v>
      </c>
      <c r="C32" s="34" t="s">
        <v>6</v>
      </c>
      <c r="D32" s="34" t="s">
        <v>6</v>
      </c>
      <c r="E32" s="34" t="s">
        <v>6</v>
      </c>
      <c r="F32" s="34" t="s">
        <v>6</v>
      </c>
      <c r="G32" s="35" t="s">
        <v>6</v>
      </c>
      <c r="H32" s="35" t="s">
        <v>6</v>
      </c>
      <c r="I32" s="35" t="s">
        <v>6</v>
      </c>
      <c r="J32" s="34" t="s">
        <v>6</v>
      </c>
    </row>
    <row r="33" spans="1:10" x14ac:dyDescent="0.25">
      <c r="A33" s="34" t="s">
        <v>6</v>
      </c>
      <c r="B33" s="35" t="s">
        <v>6</v>
      </c>
      <c r="C33" s="34" t="s">
        <v>6</v>
      </c>
      <c r="D33" s="34" t="s">
        <v>6</v>
      </c>
      <c r="E33" s="34" t="s">
        <v>6</v>
      </c>
      <c r="F33" s="34" t="s">
        <v>6</v>
      </c>
      <c r="G33" s="35" t="s">
        <v>6</v>
      </c>
      <c r="H33" s="35" t="s">
        <v>6</v>
      </c>
      <c r="I33" s="35" t="s">
        <v>6</v>
      </c>
      <c r="J33" s="34" t="s">
        <v>6</v>
      </c>
    </row>
    <row r="34" spans="1:10" x14ac:dyDescent="0.25">
      <c r="A34" s="34" t="s">
        <v>6</v>
      </c>
      <c r="B34" s="35" t="s">
        <v>6</v>
      </c>
      <c r="C34" s="34" t="s">
        <v>6</v>
      </c>
      <c r="D34" s="34" t="s">
        <v>6</v>
      </c>
      <c r="E34" s="34" t="s">
        <v>6</v>
      </c>
      <c r="F34" s="34" t="s">
        <v>6</v>
      </c>
      <c r="G34" s="35" t="s">
        <v>6</v>
      </c>
      <c r="H34" s="35" t="s">
        <v>6</v>
      </c>
      <c r="I34" s="35" t="s">
        <v>6</v>
      </c>
      <c r="J34" s="34" t="s">
        <v>6</v>
      </c>
    </row>
    <row r="35" spans="1:10" x14ac:dyDescent="0.25">
      <c r="A35" s="34" t="s">
        <v>6</v>
      </c>
      <c r="B35" s="35" t="s">
        <v>6</v>
      </c>
      <c r="C35" s="34" t="s">
        <v>6</v>
      </c>
      <c r="D35" s="34" t="s">
        <v>6</v>
      </c>
      <c r="E35" s="34" t="s">
        <v>6</v>
      </c>
      <c r="F35" s="34" t="s">
        <v>6</v>
      </c>
      <c r="G35" s="35" t="s">
        <v>6</v>
      </c>
      <c r="H35" s="35" t="s">
        <v>6</v>
      </c>
      <c r="I35" s="35" t="s">
        <v>6</v>
      </c>
      <c r="J35" s="34" t="s">
        <v>6</v>
      </c>
    </row>
    <row r="36" spans="1:10" x14ac:dyDescent="0.25">
      <c r="A36" s="34" t="s">
        <v>6</v>
      </c>
      <c r="B36" s="35" t="s">
        <v>6</v>
      </c>
      <c r="C36" s="34" t="s">
        <v>6</v>
      </c>
      <c r="D36" s="34" t="s">
        <v>6</v>
      </c>
      <c r="E36" s="34" t="s">
        <v>6</v>
      </c>
      <c r="F36" s="34" t="s">
        <v>6</v>
      </c>
      <c r="G36" s="35" t="s">
        <v>6</v>
      </c>
      <c r="H36" s="35" t="s">
        <v>6</v>
      </c>
      <c r="I36" s="35" t="s">
        <v>6</v>
      </c>
      <c r="J36" s="34" t="s">
        <v>6</v>
      </c>
    </row>
    <row r="37" spans="1:10" x14ac:dyDescent="0.25">
      <c r="A37" s="34" t="s">
        <v>6</v>
      </c>
      <c r="B37" s="35" t="s">
        <v>6</v>
      </c>
      <c r="C37" s="34" t="s">
        <v>6</v>
      </c>
      <c r="D37" s="34" t="s">
        <v>6</v>
      </c>
      <c r="E37" s="34" t="s">
        <v>6</v>
      </c>
      <c r="F37" s="34" t="s">
        <v>6</v>
      </c>
      <c r="G37" s="35" t="s">
        <v>6</v>
      </c>
      <c r="H37" s="35" t="s">
        <v>6</v>
      </c>
      <c r="I37" s="35" t="s">
        <v>6</v>
      </c>
      <c r="J37" s="34" t="s">
        <v>6</v>
      </c>
    </row>
    <row r="38" spans="1:10" x14ac:dyDescent="0.25">
      <c r="A38" s="34" t="s">
        <v>6</v>
      </c>
      <c r="B38" s="35" t="s">
        <v>6</v>
      </c>
      <c r="C38" s="34" t="s">
        <v>6</v>
      </c>
      <c r="D38" s="34" t="s">
        <v>6</v>
      </c>
      <c r="E38" s="34" t="s">
        <v>6</v>
      </c>
      <c r="F38" s="34" t="s">
        <v>6</v>
      </c>
      <c r="G38" s="35" t="s">
        <v>6</v>
      </c>
      <c r="H38" s="35" t="s">
        <v>6</v>
      </c>
      <c r="I38" s="35" t="s">
        <v>6</v>
      </c>
      <c r="J38" s="34" t="s">
        <v>6</v>
      </c>
    </row>
    <row r="39" spans="1:10" x14ac:dyDescent="0.25">
      <c r="A39" s="34" t="s">
        <v>6</v>
      </c>
      <c r="B39" s="35" t="s">
        <v>6</v>
      </c>
      <c r="C39" s="34" t="s">
        <v>6</v>
      </c>
      <c r="D39" s="34" t="s">
        <v>6</v>
      </c>
      <c r="E39" s="34" t="s">
        <v>6</v>
      </c>
      <c r="F39" s="34" t="s">
        <v>6</v>
      </c>
      <c r="G39" s="35" t="s">
        <v>6</v>
      </c>
      <c r="H39" s="35" t="s">
        <v>6</v>
      </c>
      <c r="I39" s="35" t="s">
        <v>6</v>
      </c>
      <c r="J39" s="34" t="s">
        <v>6</v>
      </c>
    </row>
    <row r="40" spans="1:10" x14ac:dyDescent="0.25">
      <c r="A40" s="34" t="s">
        <v>6</v>
      </c>
      <c r="B40" s="35" t="s">
        <v>6</v>
      </c>
      <c r="C40" s="34" t="s">
        <v>6</v>
      </c>
      <c r="D40" s="34" t="s">
        <v>6</v>
      </c>
      <c r="E40" s="34" t="s">
        <v>6</v>
      </c>
      <c r="F40" s="34" t="s">
        <v>6</v>
      </c>
      <c r="G40" s="35" t="s">
        <v>6</v>
      </c>
      <c r="H40" s="35" t="s">
        <v>6</v>
      </c>
      <c r="I40" s="35" t="s">
        <v>6</v>
      </c>
      <c r="J40" s="34" t="s">
        <v>6</v>
      </c>
    </row>
    <row r="41" spans="1:10" x14ac:dyDescent="0.25">
      <c r="A41" s="34" t="s">
        <v>6</v>
      </c>
      <c r="B41" s="35" t="s">
        <v>6</v>
      </c>
      <c r="C41" s="34" t="s">
        <v>6</v>
      </c>
      <c r="D41" s="34" t="s">
        <v>6</v>
      </c>
      <c r="E41" s="34" t="s">
        <v>6</v>
      </c>
      <c r="F41" s="34" t="s">
        <v>6</v>
      </c>
      <c r="G41" s="35" t="s">
        <v>6</v>
      </c>
      <c r="H41" s="35" t="s">
        <v>6</v>
      </c>
      <c r="I41" s="35" t="s">
        <v>6</v>
      </c>
      <c r="J41" s="34" t="s">
        <v>6</v>
      </c>
    </row>
    <row r="42" spans="1:10" x14ac:dyDescent="0.25">
      <c r="A42" s="34" t="s">
        <v>6</v>
      </c>
      <c r="B42" s="35" t="s">
        <v>6</v>
      </c>
      <c r="C42" s="34" t="s">
        <v>6</v>
      </c>
      <c r="D42" s="34" t="s">
        <v>6</v>
      </c>
      <c r="E42" s="34" t="s">
        <v>6</v>
      </c>
      <c r="F42" s="34" t="s">
        <v>6</v>
      </c>
      <c r="G42" s="35" t="s">
        <v>6</v>
      </c>
      <c r="H42" s="35" t="s">
        <v>6</v>
      </c>
      <c r="I42" s="35" t="s">
        <v>6</v>
      </c>
      <c r="J42" s="34" t="s">
        <v>6</v>
      </c>
    </row>
    <row r="43" spans="1:10" x14ac:dyDescent="0.25">
      <c r="A43" s="34" t="s">
        <v>6</v>
      </c>
      <c r="B43" s="35" t="s">
        <v>6</v>
      </c>
      <c r="C43" s="34" t="s">
        <v>6</v>
      </c>
      <c r="D43" s="34" t="s">
        <v>6</v>
      </c>
      <c r="E43" s="34" t="s">
        <v>6</v>
      </c>
      <c r="F43" s="34" t="s">
        <v>6</v>
      </c>
      <c r="G43" s="35" t="s">
        <v>6</v>
      </c>
      <c r="H43" s="35" t="s">
        <v>6</v>
      </c>
      <c r="I43" s="35" t="s">
        <v>6</v>
      </c>
      <c r="J43" s="34" t="s">
        <v>6</v>
      </c>
    </row>
    <row r="44" spans="1:10" x14ac:dyDescent="0.25">
      <c r="A44" s="34" t="s">
        <v>6</v>
      </c>
      <c r="B44" s="35" t="s">
        <v>6</v>
      </c>
      <c r="C44" s="34" t="s">
        <v>6</v>
      </c>
      <c r="D44" s="34" t="s">
        <v>6</v>
      </c>
      <c r="E44" s="34" t="s">
        <v>6</v>
      </c>
      <c r="F44" s="34" t="s">
        <v>6</v>
      </c>
      <c r="G44" s="35" t="s">
        <v>6</v>
      </c>
      <c r="H44" s="35" t="s">
        <v>6</v>
      </c>
      <c r="I44" s="35" t="s">
        <v>6</v>
      </c>
      <c r="J44" s="34" t="s">
        <v>6</v>
      </c>
    </row>
    <row r="45" spans="1:10" x14ac:dyDescent="0.25">
      <c r="A45" s="34" t="s">
        <v>6</v>
      </c>
      <c r="B45" s="35" t="s">
        <v>6</v>
      </c>
      <c r="C45" s="34" t="s">
        <v>6</v>
      </c>
      <c r="D45" s="34" t="s">
        <v>6</v>
      </c>
      <c r="E45" s="34" t="s">
        <v>6</v>
      </c>
      <c r="F45" s="34" t="s">
        <v>6</v>
      </c>
      <c r="G45" s="35" t="s">
        <v>6</v>
      </c>
      <c r="H45" s="35" t="s">
        <v>6</v>
      </c>
      <c r="I45" s="35" t="s">
        <v>6</v>
      </c>
      <c r="J45" s="34" t="s">
        <v>6</v>
      </c>
    </row>
    <row r="46" spans="1:10" x14ac:dyDescent="0.25">
      <c r="A46" s="34" t="s">
        <v>6</v>
      </c>
      <c r="B46" s="35" t="s">
        <v>6</v>
      </c>
      <c r="C46" s="34" t="s">
        <v>6</v>
      </c>
      <c r="D46" s="34" t="s">
        <v>6</v>
      </c>
      <c r="E46" s="34" t="s">
        <v>6</v>
      </c>
      <c r="F46" s="34" t="s">
        <v>6</v>
      </c>
      <c r="G46" s="35" t="s">
        <v>6</v>
      </c>
      <c r="H46" s="35" t="s">
        <v>6</v>
      </c>
      <c r="I46" s="35" t="s">
        <v>6</v>
      </c>
      <c r="J46" s="34" t="s">
        <v>6</v>
      </c>
    </row>
    <row r="47" spans="1:10" x14ac:dyDescent="0.25">
      <c r="A47" s="34" t="s">
        <v>6</v>
      </c>
      <c r="B47" s="35" t="s">
        <v>6</v>
      </c>
      <c r="C47" s="34" t="s">
        <v>6</v>
      </c>
      <c r="D47" s="34" t="s">
        <v>6</v>
      </c>
      <c r="E47" s="34" t="s">
        <v>6</v>
      </c>
      <c r="F47" s="34" t="s">
        <v>6</v>
      </c>
      <c r="G47" s="35" t="s">
        <v>6</v>
      </c>
      <c r="H47" s="35" t="s">
        <v>6</v>
      </c>
      <c r="I47" s="35" t="s">
        <v>6</v>
      </c>
      <c r="J47" s="34" t="s">
        <v>6</v>
      </c>
    </row>
    <row r="48" spans="1:10" x14ac:dyDescent="0.25">
      <c r="A48" s="34" t="s">
        <v>6</v>
      </c>
      <c r="B48" s="35" t="s">
        <v>6</v>
      </c>
      <c r="C48" s="34" t="s">
        <v>6</v>
      </c>
      <c r="D48" s="34" t="s">
        <v>6</v>
      </c>
      <c r="E48" s="34" t="s">
        <v>6</v>
      </c>
      <c r="F48" s="34" t="s">
        <v>6</v>
      </c>
      <c r="G48" s="35" t="s">
        <v>6</v>
      </c>
      <c r="H48" s="35" t="s">
        <v>6</v>
      </c>
      <c r="I48" s="35" t="s">
        <v>6</v>
      </c>
      <c r="J48" s="34" t="s">
        <v>6</v>
      </c>
    </row>
    <row r="49" spans="1:10" x14ac:dyDescent="0.25">
      <c r="A49" s="34" t="s">
        <v>6</v>
      </c>
      <c r="B49" s="35" t="s">
        <v>6</v>
      </c>
      <c r="C49" s="34" t="s">
        <v>6</v>
      </c>
      <c r="D49" s="34" t="s">
        <v>6</v>
      </c>
      <c r="E49" s="34" t="s">
        <v>6</v>
      </c>
      <c r="F49" s="34" t="s">
        <v>6</v>
      </c>
      <c r="G49" s="35" t="s">
        <v>6</v>
      </c>
      <c r="H49" s="35" t="s">
        <v>6</v>
      </c>
      <c r="I49" s="35" t="s">
        <v>6</v>
      </c>
      <c r="J49" s="34" t="s">
        <v>6</v>
      </c>
    </row>
    <row r="50" spans="1:10" x14ac:dyDescent="0.25">
      <c r="A50" s="34" t="s">
        <v>6</v>
      </c>
      <c r="B50" s="35" t="s">
        <v>6</v>
      </c>
      <c r="C50" s="34" t="s">
        <v>6</v>
      </c>
      <c r="D50" s="34" t="s">
        <v>6</v>
      </c>
      <c r="E50" s="34" t="s">
        <v>6</v>
      </c>
      <c r="F50" s="34" t="s">
        <v>6</v>
      </c>
      <c r="G50" s="35" t="s">
        <v>6</v>
      </c>
      <c r="H50" s="35" t="s">
        <v>6</v>
      </c>
      <c r="I50" s="35" t="s">
        <v>6</v>
      </c>
      <c r="J50" s="34" t="s">
        <v>6</v>
      </c>
    </row>
    <row r="51" spans="1:10" x14ac:dyDescent="0.25">
      <c r="A51" s="34" t="s">
        <v>6</v>
      </c>
      <c r="B51" s="35" t="s">
        <v>6</v>
      </c>
      <c r="C51" s="34" t="s">
        <v>6</v>
      </c>
      <c r="D51" s="34" t="s">
        <v>6</v>
      </c>
      <c r="E51" s="34" t="s">
        <v>6</v>
      </c>
      <c r="F51" s="34" t="s">
        <v>6</v>
      </c>
      <c r="G51" s="35" t="s">
        <v>6</v>
      </c>
      <c r="H51" s="35" t="s">
        <v>6</v>
      </c>
      <c r="I51" s="35" t="s">
        <v>6</v>
      </c>
      <c r="J51" s="34" t="s">
        <v>6</v>
      </c>
    </row>
    <row r="52" spans="1:10" x14ac:dyDescent="0.25">
      <c r="A52" s="34" t="s">
        <v>6</v>
      </c>
      <c r="B52" s="35" t="s">
        <v>6</v>
      </c>
      <c r="C52" s="34" t="s">
        <v>6</v>
      </c>
      <c r="D52" s="34" t="s">
        <v>6</v>
      </c>
      <c r="E52" s="34" t="s">
        <v>6</v>
      </c>
      <c r="F52" s="34" t="s">
        <v>6</v>
      </c>
      <c r="G52" s="35" t="s">
        <v>6</v>
      </c>
      <c r="H52" s="35" t="s">
        <v>6</v>
      </c>
      <c r="I52" s="35" t="s">
        <v>6</v>
      </c>
      <c r="J52" s="34" t="s">
        <v>6</v>
      </c>
    </row>
    <row r="53" spans="1:10" x14ac:dyDescent="0.25">
      <c r="A53" s="34" t="s">
        <v>6</v>
      </c>
      <c r="B53" s="35" t="s">
        <v>6</v>
      </c>
      <c r="C53" s="34" t="s">
        <v>6</v>
      </c>
      <c r="D53" s="34" t="s">
        <v>6</v>
      </c>
      <c r="E53" s="34" t="s">
        <v>6</v>
      </c>
      <c r="F53" s="34" t="s">
        <v>6</v>
      </c>
      <c r="G53" s="35" t="s">
        <v>6</v>
      </c>
      <c r="H53" s="35" t="s">
        <v>6</v>
      </c>
      <c r="I53" s="35" t="s">
        <v>6</v>
      </c>
      <c r="J53" s="34" t="s">
        <v>6</v>
      </c>
    </row>
    <row r="54" spans="1:10" x14ac:dyDescent="0.25">
      <c r="A54" s="34" t="s">
        <v>6</v>
      </c>
      <c r="B54" s="35" t="s">
        <v>6</v>
      </c>
      <c r="C54" s="34" t="s">
        <v>6</v>
      </c>
      <c r="D54" s="34" t="s">
        <v>6</v>
      </c>
      <c r="E54" s="34" t="s">
        <v>6</v>
      </c>
      <c r="F54" s="34" t="s">
        <v>6</v>
      </c>
      <c r="G54" s="35" t="s">
        <v>6</v>
      </c>
      <c r="H54" s="35" t="s">
        <v>6</v>
      </c>
      <c r="I54" s="35" t="s">
        <v>6</v>
      </c>
      <c r="J54" s="34" t="s">
        <v>6</v>
      </c>
    </row>
    <row r="55" spans="1:10" x14ac:dyDescent="0.25">
      <c r="A55" s="34" t="s">
        <v>6</v>
      </c>
      <c r="B55" s="35" t="s">
        <v>6</v>
      </c>
      <c r="C55" s="34" t="s">
        <v>6</v>
      </c>
      <c r="D55" s="34" t="s">
        <v>6</v>
      </c>
      <c r="E55" s="34" t="s">
        <v>6</v>
      </c>
      <c r="F55" s="34" t="s">
        <v>6</v>
      </c>
      <c r="G55" s="35" t="s">
        <v>6</v>
      </c>
      <c r="H55" s="35" t="s">
        <v>6</v>
      </c>
      <c r="I55" s="35" t="s">
        <v>6</v>
      </c>
      <c r="J55" s="34" t="s">
        <v>6</v>
      </c>
    </row>
    <row r="56" spans="1:10" x14ac:dyDescent="0.25">
      <c r="A56" s="34" t="s">
        <v>6</v>
      </c>
      <c r="B56" s="35" t="s">
        <v>6</v>
      </c>
      <c r="C56" s="34" t="s">
        <v>6</v>
      </c>
      <c r="D56" s="34" t="s">
        <v>6</v>
      </c>
      <c r="E56" s="34" t="s">
        <v>6</v>
      </c>
      <c r="F56" s="34" t="s">
        <v>6</v>
      </c>
      <c r="G56" s="35" t="s">
        <v>6</v>
      </c>
      <c r="H56" s="35" t="s">
        <v>6</v>
      </c>
      <c r="I56" s="35" t="s">
        <v>6</v>
      </c>
      <c r="J56" s="34" t="s">
        <v>6</v>
      </c>
    </row>
    <row r="57" spans="1:10" x14ac:dyDescent="0.25">
      <c r="A57" s="34" t="s">
        <v>6</v>
      </c>
      <c r="B57" s="35" t="s">
        <v>6</v>
      </c>
      <c r="C57" s="34" t="s">
        <v>6</v>
      </c>
      <c r="D57" s="34" t="s">
        <v>6</v>
      </c>
      <c r="E57" s="34" t="s">
        <v>6</v>
      </c>
      <c r="F57" s="34" t="s">
        <v>6</v>
      </c>
      <c r="G57" s="35" t="s">
        <v>6</v>
      </c>
      <c r="H57" s="35" t="s">
        <v>6</v>
      </c>
      <c r="I57" s="35" t="s">
        <v>6</v>
      </c>
      <c r="J57" s="34" t="s">
        <v>6</v>
      </c>
    </row>
    <row r="58" spans="1:10" x14ac:dyDescent="0.25">
      <c r="A58" s="34" t="s">
        <v>6</v>
      </c>
      <c r="B58" s="35" t="s">
        <v>6</v>
      </c>
      <c r="C58" s="34" t="s">
        <v>6</v>
      </c>
      <c r="D58" s="34" t="s">
        <v>6</v>
      </c>
      <c r="E58" s="34" t="s">
        <v>6</v>
      </c>
      <c r="F58" s="34" t="s">
        <v>6</v>
      </c>
      <c r="G58" s="35" t="s">
        <v>6</v>
      </c>
      <c r="H58" s="35" t="s">
        <v>6</v>
      </c>
      <c r="I58" s="35" t="s">
        <v>6</v>
      </c>
      <c r="J58" s="34" t="s">
        <v>6</v>
      </c>
    </row>
    <row r="59" spans="1:10" x14ac:dyDescent="0.25">
      <c r="A59" s="34" t="s">
        <v>6</v>
      </c>
      <c r="B59" s="35" t="s">
        <v>6</v>
      </c>
      <c r="C59" s="34" t="s">
        <v>6</v>
      </c>
      <c r="D59" s="34" t="s">
        <v>6</v>
      </c>
      <c r="E59" s="34" t="s">
        <v>6</v>
      </c>
      <c r="F59" s="34" t="s">
        <v>6</v>
      </c>
      <c r="G59" s="35" t="s">
        <v>6</v>
      </c>
      <c r="H59" s="35" t="s">
        <v>6</v>
      </c>
      <c r="I59" s="35" t="s">
        <v>6</v>
      </c>
      <c r="J59" s="34" t="s">
        <v>6</v>
      </c>
    </row>
    <row r="60" spans="1:10" x14ac:dyDescent="0.25">
      <c r="A60" s="34" t="s">
        <v>6</v>
      </c>
      <c r="B60" s="35" t="s">
        <v>6</v>
      </c>
      <c r="C60" s="34" t="s">
        <v>6</v>
      </c>
      <c r="D60" s="34" t="s">
        <v>6</v>
      </c>
      <c r="E60" s="34" t="s">
        <v>6</v>
      </c>
      <c r="F60" s="34" t="s">
        <v>6</v>
      </c>
      <c r="G60" s="35" t="s">
        <v>6</v>
      </c>
      <c r="H60" s="35" t="s">
        <v>6</v>
      </c>
      <c r="I60" s="35" t="s">
        <v>6</v>
      </c>
      <c r="J60" s="34" t="s">
        <v>6</v>
      </c>
    </row>
    <row r="61" spans="1:10" x14ac:dyDescent="0.25">
      <c r="A61" s="34" t="s">
        <v>6</v>
      </c>
      <c r="B61" s="35" t="s">
        <v>6</v>
      </c>
      <c r="C61" s="34" t="s">
        <v>6</v>
      </c>
      <c r="D61" s="34" t="s">
        <v>6</v>
      </c>
      <c r="E61" s="34" t="s">
        <v>6</v>
      </c>
      <c r="F61" s="34" t="s">
        <v>6</v>
      </c>
      <c r="G61" s="35" t="s">
        <v>6</v>
      </c>
      <c r="H61" s="35" t="s">
        <v>6</v>
      </c>
      <c r="I61" s="35" t="s">
        <v>6</v>
      </c>
      <c r="J61" s="34" t="s">
        <v>6</v>
      </c>
    </row>
    <row r="62" spans="1:10" x14ac:dyDescent="0.25">
      <c r="A62" s="34" t="s">
        <v>6</v>
      </c>
      <c r="B62" s="35" t="s">
        <v>6</v>
      </c>
      <c r="C62" s="34" t="s">
        <v>6</v>
      </c>
      <c r="D62" s="34" t="s">
        <v>6</v>
      </c>
      <c r="E62" s="34" t="s">
        <v>6</v>
      </c>
      <c r="F62" s="34" t="s">
        <v>6</v>
      </c>
      <c r="G62" s="35" t="s">
        <v>6</v>
      </c>
      <c r="H62" s="35" t="s">
        <v>6</v>
      </c>
      <c r="I62" s="35" t="s">
        <v>6</v>
      </c>
      <c r="J62" s="34" t="s">
        <v>6</v>
      </c>
    </row>
    <row r="63" spans="1:10" x14ac:dyDescent="0.25">
      <c r="A63" s="34" t="s">
        <v>6</v>
      </c>
      <c r="B63" s="35" t="s">
        <v>6</v>
      </c>
      <c r="C63" s="34" t="s">
        <v>6</v>
      </c>
      <c r="D63" s="34" t="s">
        <v>6</v>
      </c>
      <c r="E63" s="34" t="s">
        <v>6</v>
      </c>
      <c r="F63" s="34" t="s">
        <v>6</v>
      </c>
      <c r="G63" s="35" t="s">
        <v>6</v>
      </c>
      <c r="H63" s="35" t="s">
        <v>6</v>
      </c>
      <c r="I63" s="35" t="s">
        <v>6</v>
      </c>
      <c r="J63" s="34" t="s">
        <v>6</v>
      </c>
    </row>
    <row r="64" spans="1:10" x14ac:dyDescent="0.25">
      <c r="A64" s="34" t="s">
        <v>6</v>
      </c>
      <c r="B64" s="35" t="s">
        <v>6</v>
      </c>
      <c r="C64" s="34" t="s">
        <v>6</v>
      </c>
      <c r="D64" s="34" t="s">
        <v>6</v>
      </c>
      <c r="E64" s="34" t="s">
        <v>6</v>
      </c>
      <c r="F64" s="34" t="s">
        <v>6</v>
      </c>
      <c r="G64" s="35" t="s">
        <v>6</v>
      </c>
      <c r="H64" s="35" t="s">
        <v>6</v>
      </c>
      <c r="I64" s="35" t="s">
        <v>6</v>
      </c>
      <c r="J64" s="34" t="s">
        <v>6</v>
      </c>
    </row>
    <row r="65" spans="1:10" x14ac:dyDescent="0.25">
      <c r="A65" s="34" t="s">
        <v>6</v>
      </c>
      <c r="B65" s="35" t="s">
        <v>6</v>
      </c>
      <c r="C65" s="34" t="s">
        <v>6</v>
      </c>
      <c r="D65" s="34" t="s">
        <v>6</v>
      </c>
      <c r="E65" s="34" t="s">
        <v>6</v>
      </c>
      <c r="F65" s="34" t="s">
        <v>6</v>
      </c>
      <c r="G65" s="35" t="s">
        <v>6</v>
      </c>
      <c r="H65" s="35" t="s">
        <v>6</v>
      </c>
      <c r="I65" s="35" t="s">
        <v>6</v>
      </c>
      <c r="J65" s="34" t="s">
        <v>6</v>
      </c>
    </row>
    <row r="66" spans="1:10" x14ac:dyDescent="0.25">
      <c r="A66" s="34" t="s">
        <v>6</v>
      </c>
      <c r="B66" s="35" t="s">
        <v>6</v>
      </c>
      <c r="C66" s="34" t="s">
        <v>6</v>
      </c>
      <c r="D66" s="34" t="s">
        <v>6</v>
      </c>
      <c r="E66" s="34" t="s">
        <v>6</v>
      </c>
      <c r="F66" s="34" t="s">
        <v>6</v>
      </c>
      <c r="G66" s="35" t="s">
        <v>6</v>
      </c>
      <c r="H66" s="35" t="s">
        <v>6</v>
      </c>
      <c r="I66" s="35" t="s">
        <v>6</v>
      </c>
      <c r="J66" s="34" t="s">
        <v>6</v>
      </c>
    </row>
    <row r="67" spans="1:10" x14ac:dyDescent="0.25">
      <c r="A67" s="34" t="s">
        <v>6</v>
      </c>
      <c r="B67" s="35" t="s">
        <v>6</v>
      </c>
      <c r="C67" s="34" t="s">
        <v>6</v>
      </c>
      <c r="D67" s="34" t="s">
        <v>6</v>
      </c>
      <c r="E67" s="34" t="s">
        <v>6</v>
      </c>
      <c r="F67" s="34" t="s">
        <v>6</v>
      </c>
      <c r="G67" s="35" t="s">
        <v>6</v>
      </c>
      <c r="H67" s="35" t="s">
        <v>6</v>
      </c>
      <c r="I67" s="35" t="s">
        <v>6</v>
      </c>
      <c r="J67" s="34" t="s">
        <v>6</v>
      </c>
    </row>
    <row r="68" spans="1:10" x14ac:dyDescent="0.25">
      <c r="A68" s="34" t="s">
        <v>6</v>
      </c>
      <c r="B68" s="35" t="s">
        <v>6</v>
      </c>
      <c r="C68" s="34" t="s">
        <v>6</v>
      </c>
      <c r="D68" s="34" t="s">
        <v>6</v>
      </c>
      <c r="E68" s="34" t="s">
        <v>6</v>
      </c>
      <c r="F68" s="34" t="s">
        <v>6</v>
      </c>
      <c r="G68" s="35" t="s">
        <v>6</v>
      </c>
      <c r="H68" s="35" t="s">
        <v>6</v>
      </c>
      <c r="I68" s="35" t="s">
        <v>6</v>
      </c>
      <c r="J68" s="34" t="s">
        <v>6</v>
      </c>
    </row>
    <row r="69" spans="1:10" x14ac:dyDescent="0.25">
      <c r="A69" s="34" t="s">
        <v>6</v>
      </c>
      <c r="B69" s="35" t="s">
        <v>6</v>
      </c>
      <c r="C69" s="34" t="s">
        <v>6</v>
      </c>
      <c r="D69" s="34" t="s">
        <v>6</v>
      </c>
      <c r="E69" s="34" t="s">
        <v>6</v>
      </c>
      <c r="F69" s="34" t="s">
        <v>6</v>
      </c>
      <c r="G69" s="35" t="s">
        <v>6</v>
      </c>
      <c r="H69" s="35" t="s">
        <v>6</v>
      </c>
      <c r="I69" s="35" t="s">
        <v>6</v>
      </c>
      <c r="J69" s="34" t="s">
        <v>6</v>
      </c>
    </row>
    <row r="70" spans="1:10" x14ac:dyDescent="0.25">
      <c r="A70" s="34" t="s">
        <v>6</v>
      </c>
      <c r="B70" s="35" t="s">
        <v>6</v>
      </c>
      <c r="C70" s="34" t="s">
        <v>6</v>
      </c>
      <c r="D70" s="34" t="s">
        <v>6</v>
      </c>
      <c r="E70" s="34" t="s">
        <v>6</v>
      </c>
      <c r="F70" s="34" t="s">
        <v>6</v>
      </c>
      <c r="G70" s="35" t="s">
        <v>6</v>
      </c>
      <c r="H70" s="35" t="s">
        <v>6</v>
      </c>
      <c r="I70" s="35" t="s">
        <v>6</v>
      </c>
      <c r="J70" s="34" t="s">
        <v>6</v>
      </c>
    </row>
    <row r="71" spans="1:10" x14ac:dyDescent="0.25">
      <c r="A71" s="34" t="s">
        <v>6</v>
      </c>
      <c r="B71" s="35" t="s">
        <v>6</v>
      </c>
      <c r="C71" s="34" t="s">
        <v>6</v>
      </c>
      <c r="D71" s="34" t="s">
        <v>6</v>
      </c>
      <c r="E71" s="34" t="s">
        <v>6</v>
      </c>
      <c r="F71" s="34" t="s">
        <v>6</v>
      </c>
      <c r="G71" s="35" t="s">
        <v>6</v>
      </c>
      <c r="H71" s="35" t="s">
        <v>6</v>
      </c>
      <c r="I71" s="35" t="s">
        <v>6</v>
      </c>
      <c r="J71" s="34" t="s">
        <v>6</v>
      </c>
    </row>
    <row r="72" spans="1:10" x14ac:dyDescent="0.25">
      <c r="A72" s="34" t="s">
        <v>6</v>
      </c>
      <c r="B72" s="35" t="s">
        <v>6</v>
      </c>
      <c r="C72" s="34" t="s">
        <v>6</v>
      </c>
      <c r="D72" s="34" t="s">
        <v>6</v>
      </c>
      <c r="E72" s="34" t="s">
        <v>6</v>
      </c>
      <c r="F72" s="34" t="s">
        <v>6</v>
      </c>
      <c r="G72" s="35" t="s">
        <v>6</v>
      </c>
      <c r="H72" s="35" t="s">
        <v>6</v>
      </c>
      <c r="I72" s="35" t="s">
        <v>6</v>
      </c>
      <c r="J72" s="34" t="s">
        <v>6</v>
      </c>
    </row>
    <row r="73" spans="1:10" x14ac:dyDescent="0.25">
      <c r="A73" s="34" t="s">
        <v>6</v>
      </c>
      <c r="B73" s="35" t="s">
        <v>6</v>
      </c>
      <c r="C73" s="34" t="s">
        <v>6</v>
      </c>
      <c r="D73" s="34" t="s">
        <v>6</v>
      </c>
      <c r="E73" s="34" t="s">
        <v>6</v>
      </c>
      <c r="F73" s="34" t="s">
        <v>6</v>
      </c>
      <c r="G73" s="35" t="s">
        <v>6</v>
      </c>
      <c r="H73" s="35" t="s">
        <v>6</v>
      </c>
      <c r="I73" s="35" t="s">
        <v>6</v>
      </c>
      <c r="J73" s="34" t="s">
        <v>6</v>
      </c>
    </row>
    <row r="74" spans="1:10" x14ac:dyDescent="0.25">
      <c r="A74" s="34" t="s">
        <v>6</v>
      </c>
      <c r="B74" s="35" t="s">
        <v>6</v>
      </c>
      <c r="C74" s="34" t="s">
        <v>6</v>
      </c>
      <c r="D74" s="34" t="s">
        <v>6</v>
      </c>
      <c r="E74" s="34" t="s">
        <v>6</v>
      </c>
      <c r="F74" s="34" t="s">
        <v>6</v>
      </c>
      <c r="G74" s="35" t="s">
        <v>6</v>
      </c>
      <c r="H74" s="35" t="s">
        <v>6</v>
      </c>
      <c r="I74" s="35" t="s">
        <v>6</v>
      </c>
      <c r="J74" s="34" t="s">
        <v>6</v>
      </c>
    </row>
    <row r="75" spans="1:10" x14ac:dyDescent="0.25">
      <c r="A75" s="34" t="s">
        <v>6</v>
      </c>
      <c r="B75" s="35" t="s">
        <v>6</v>
      </c>
      <c r="C75" s="34" t="s">
        <v>6</v>
      </c>
      <c r="D75" s="34" t="s">
        <v>6</v>
      </c>
      <c r="E75" s="34" t="s">
        <v>6</v>
      </c>
      <c r="F75" s="34" t="s">
        <v>6</v>
      </c>
      <c r="G75" s="35" t="s">
        <v>6</v>
      </c>
      <c r="H75" s="35" t="s">
        <v>6</v>
      </c>
      <c r="I75" s="35" t="s">
        <v>6</v>
      </c>
      <c r="J75" s="34" t="s">
        <v>6</v>
      </c>
    </row>
    <row r="76" spans="1:10" x14ac:dyDescent="0.25">
      <c r="A76" s="34" t="s">
        <v>6</v>
      </c>
      <c r="B76" s="35" t="s">
        <v>6</v>
      </c>
      <c r="C76" s="34" t="s">
        <v>6</v>
      </c>
      <c r="D76" s="34" t="s">
        <v>6</v>
      </c>
      <c r="E76" s="34" t="s">
        <v>6</v>
      </c>
      <c r="F76" s="34" t="s">
        <v>6</v>
      </c>
      <c r="G76" s="35" t="s">
        <v>6</v>
      </c>
      <c r="H76" s="35" t="s">
        <v>6</v>
      </c>
      <c r="I76" s="35" t="s">
        <v>6</v>
      </c>
      <c r="J76" s="34" t="s">
        <v>6</v>
      </c>
    </row>
    <row r="77" spans="1:10" x14ac:dyDescent="0.25">
      <c r="A77" s="34" t="s">
        <v>6</v>
      </c>
      <c r="B77" s="35" t="s">
        <v>6</v>
      </c>
      <c r="C77" s="34" t="s">
        <v>6</v>
      </c>
      <c r="D77" s="34" t="s">
        <v>6</v>
      </c>
      <c r="E77" s="34" t="s">
        <v>6</v>
      </c>
      <c r="F77" s="34" t="s">
        <v>6</v>
      </c>
      <c r="G77" s="35" t="s">
        <v>6</v>
      </c>
      <c r="H77" s="35" t="s">
        <v>6</v>
      </c>
      <c r="I77" s="35" t="s">
        <v>6</v>
      </c>
      <c r="J77" s="34" t="s">
        <v>6</v>
      </c>
    </row>
    <row r="78" spans="1:10" x14ac:dyDescent="0.25">
      <c r="A78" s="34" t="s">
        <v>6</v>
      </c>
      <c r="B78" s="35" t="s">
        <v>6</v>
      </c>
      <c r="C78" s="34" t="s">
        <v>6</v>
      </c>
      <c r="D78" s="34" t="s">
        <v>6</v>
      </c>
      <c r="E78" s="34" t="s">
        <v>6</v>
      </c>
      <c r="F78" s="34" t="s">
        <v>6</v>
      </c>
      <c r="G78" s="35" t="s">
        <v>6</v>
      </c>
      <c r="H78" s="35" t="s">
        <v>6</v>
      </c>
      <c r="I78" s="35" t="s">
        <v>6</v>
      </c>
      <c r="J78" s="34" t="s">
        <v>6</v>
      </c>
    </row>
    <row r="79" spans="1:10" x14ac:dyDescent="0.25">
      <c r="A79" s="34" t="s">
        <v>6</v>
      </c>
      <c r="B79" s="35" t="s">
        <v>6</v>
      </c>
      <c r="C79" s="34" t="s">
        <v>6</v>
      </c>
      <c r="D79" s="34" t="s">
        <v>6</v>
      </c>
      <c r="E79" s="34" t="s">
        <v>6</v>
      </c>
      <c r="F79" s="34" t="s">
        <v>6</v>
      </c>
      <c r="G79" s="35" t="s">
        <v>6</v>
      </c>
      <c r="H79" s="35" t="s">
        <v>6</v>
      </c>
      <c r="I79" s="35" t="s">
        <v>6</v>
      </c>
      <c r="J79" s="34" t="s">
        <v>6</v>
      </c>
    </row>
    <row r="80" spans="1:10" x14ac:dyDescent="0.25">
      <c r="A80" s="34" t="s">
        <v>6</v>
      </c>
      <c r="B80" s="35" t="s">
        <v>6</v>
      </c>
      <c r="C80" s="34" t="s">
        <v>6</v>
      </c>
      <c r="D80" s="34" t="s">
        <v>6</v>
      </c>
      <c r="E80" s="34" t="s">
        <v>6</v>
      </c>
      <c r="F80" s="34" t="s">
        <v>6</v>
      </c>
      <c r="G80" s="35" t="s">
        <v>6</v>
      </c>
      <c r="H80" s="35" t="s">
        <v>6</v>
      </c>
      <c r="I80" s="35" t="s">
        <v>6</v>
      </c>
      <c r="J80" s="34" t="s">
        <v>6</v>
      </c>
    </row>
    <row r="81" spans="1:10" x14ac:dyDescent="0.25">
      <c r="A81" s="34" t="s">
        <v>6</v>
      </c>
      <c r="B81" s="35" t="s">
        <v>6</v>
      </c>
      <c r="C81" s="34" t="s">
        <v>6</v>
      </c>
      <c r="D81" s="34" t="s">
        <v>6</v>
      </c>
      <c r="E81" s="34" t="s">
        <v>6</v>
      </c>
      <c r="F81" s="34" t="s">
        <v>6</v>
      </c>
      <c r="G81" s="35" t="s">
        <v>6</v>
      </c>
      <c r="H81" s="35" t="s">
        <v>6</v>
      </c>
      <c r="I81" s="35" t="s">
        <v>6</v>
      </c>
      <c r="J81" s="34" t="s">
        <v>6</v>
      </c>
    </row>
    <row r="82" spans="1:10" x14ac:dyDescent="0.25">
      <c r="A82" s="34" t="s">
        <v>6</v>
      </c>
      <c r="B82" s="35" t="s">
        <v>6</v>
      </c>
      <c r="C82" s="34" t="s">
        <v>6</v>
      </c>
      <c r="D82" s="34" t="s">
        <v>6</v>
      </c>
      <c r="E82" s="34" t="s">
        <v>6</v>
      </c>
      <c r="F82" s="34" t="s">
        <v>6</v>
      </c>
      <c r="G82" s="35" t="s">
        <v>6</v>
      </c>
      <c r="H82" s="35" t="s">
        <v>6</v>
      </c>
      <c r="I82" s="35" t="s">
        <v>6</v>
      </c>
      <c r="J82" s="34" t="s">
        <v>6</v>
      </c>
    </row>
    <row r="83" spans="1:10" x14ac:dyDescent="0.25">
      <c r="A83" s="34" t="s">
        <v>6</v>
      </c>
      <c r="B83" s="35" t="s">
        <v>6</v>
      </c>
      <c r="C83" s="34" t="s">
        <v>6</v>
      </c>
      <c r="D83" s="34" t="s">
        <v>6</v>
      </c>
      <c r="E83" s="34" t="s">
        <v>6</v>
      </c>
      <c r="F83" s="34" t="s">
        <v>6</v>
      </c>
      <c r="G83" s="35" t="s">
        <v>6</v>
      </c>
      <c r="H83" s="35" t="s">
        <v>6</v>
      </c>
      <c r="I83" s="35" t="s">
        <v>6</v>
      </c>
      <c r="J83" s="34" t="s">
        <v>6</v>
      </c>
    </row>
    <row r="84" spans="1:10" x14ac:dyDescent="0.25">
      <c r="A84" s="34" t="s">
        <v>6</v>
      </c>
      <c r="B84" s="35" t="s">
        <v>6</v>
      </c>
      <c r="C84" s="34" t="s">
        <v>6</v>
      </c>
      <c r="D84" s="34" t="s">
        <v>6</v>
      </c>
      <c r="E84" s="34" t="s">
        <v>6</v>
      </c>
      <c r="F84" s="34" t="s">
        <v>6</v>
      </c>
      <c r="G84" s="35" t="s">
        <v>6</v>
      </c>
      <c r="H84" s="35" t="s">
        <v>6</v>
      </c>
      <c r="I84" s="35" t="s">
        <v>6</v>
      </c>
      <c r="J84" s="34" t="s">
        <v>6</v>
      </c>
    </row>
    <row r="85" spans="1:10" x14ac:dyDescent="0.25">
      <c r="A85" s="34" t="s">
        <v>6</v>
      </c>
      <c r="B85" s="35" t="s">
        <v>6</v>
      </c>
      <c r="C85" s="34" t="s">
        <v>6</v>
      </c>
      <c r="D85" s="34" t="s">
        <v>6</v>
      </c>
      <c r="E85" s="34" t="s">
        <v>6</v>
      </c>
      <c r="F85" s="34" t="s">
        <v>6</v>
      </c>
      <c r="G85" s="35" t="s">
        <v>6</v>
      </c>
      <c r="H85" s="35" t="s">
        <v>6</v>
      </c>
      <c r="I85" s="35" t="s">
        <v>6</v>
      </c>
      <c r="J85" s="34" t="s">
        <v>6</v>
      </c>
    </row>
    <row r="86" spans="1:10" x14ac:dyDescent="0.25">
      <c r="A86" s="34" t="s">
        <v>6</v>
      </c>
      <c r="B86" s="35" t="s">
        <v>6</v>
      </c>
      <c r="C86" s="34" t="s">
        <v>6</v>
      </c>
      <c r="D86" s="34" t="s">
        <v>6</v>
      </c>
      <c r="E86" s="34" t="s">
        <v>6</v>
      </c>
      <c r="F86" s="34" t="s">
        <v>6</v>
      </c>
      <c r="G86" s="35" t="s">
        <v>6</v>
      </c>
      <c r="H86" s="35" t="s">
        <v>6</v>
      </c>
      <c r="I86" s="35" t="s">
        <v>6</v>
      </c>
      <c r="J86" s="34" t="s">
        <v>6</v>
      </c>
    </row>
    <row r="87" spans="1:10" x14ac:dyDescent="0.25">
      <c r="A87" s="34" t="s">
        <v>6</v>
      </c>
      <c r="B87" s="35" t="s">
        <v>6</v>
      </c>
      <c r="C87" s="34" t="s">
        <v>6</v>
      </c>
      <c r="D87" s="34" t="s">
        <v>6</v>
      </c>
      <c r="E87" s="34" t="s">
        <v>6</v>
      </c>
      <c r="F87" s="34" t="s">
        <v>6</v>
      </c>
      <c r="G87" s="35" t="s">
        <v>6</v>
      </c>
      <c r="H87" s="35" t="s">
        <v>6</v>
      </c>
      <c r="I87" s="35" t="s">
        <v>6</v>
      </c>
      <c r="J87" s="34" t="s">
        <v>6</v>
      </c>
    </row>
    <row r="88" spans="1:10" x14ac:dyDescent="0.25">
      <c r="A88" s="34" t="s">
        <v>6</v>
      </c>
      <c r="B88" s="35" t="s">
        <v>6</v>
      </c>
      <c r="C88" s="34" t="s">
        <v>6</v>
      </c>
      <c r="D88" s="34" t="s">
        <v>6</v>
      </c>
      <c r="E88" s="34" t="s">
        <v>6</v>
      </c>
      <c r="F88" s="34" t="s">
        <v>6</v>
      </c>
      <c r="G88" s="35" t="s">
        <v>6</v>
      </c>
      <c r="H88" s="35" t="s">
        <v>6</v>
      </c>
      <c r="I88" s="35" t="s">
        <v>6</v>
      </c>
      <c r="J88" s="34" t="s">
        <v>6</v>
      </c>
    </row>
    <row r="89" spans="1:10" x14ac:dyDescent="0.25">
      <c r="A89" s="34" t="s">
        <v>6</v>
      </c>
      <c r="B89" s="35" t="s">
        <v>6</v>
      </c>
      <c r="C89" s="34" t="s">
        <v>6</v>
      </c>
      <c r="D89" s="34" t="s">
        <v>6</v>
      </c>
      <c r="E89" s="34" t="s">
        <v>6</v>
      </c>
      <c r="F89" s="34" t="s">
        <v>6</v>
      </c>
      <c r="G89" s="35" t="s">
        <v>6</v>
      </c>
      <c r="H89" s="35" t="s">
        <v>6</v>
      </c>
      <c r="I89" s="35" t="s">
        <v>6</v>
      </c>
      <c r="J89" s="34" t="s">
        <v>6</v>
      </c>
    </row>
    <row r="90" spans="1:10" x14ac:dyDescent="0.25">
      <c r="A90" s="34" t="s">
        <v>6</v>
      </c>
      <c r="B90" s="35" t="s">
        <v>6</v>
      </c>
      <c r="C90" s="34" t="s">
        <v>6</v>
      </c>
      <c r="D90" s="34" t="s">
        <v>6</v>
      </c>
      <c r="E90" s="34" t="s">
        <v>6</v>
      </c>
      <c r="F90" s="34" t="s">
        <v>6</v>
      </c>
      <c r="G90" s="35" t="s">
        <v>6</v>
      </c>
      <c r="H90" s="35" t="s">
        <v>6</v>
      </c>
      <c r="I90" s="35" t="s">
        <v>6</v>
      </c>
      <c r="J90" s="34" t="s">
        <v>6</v>
      </c>
    </row>
    <row r="91" spans="1:10" x14ac:dyDescent="0.25">
      <c r="A91" s="34" t="s">
        <v>6</v>
      </c>
      <c r="B91" s="35" t="s">
        <v>6</v>
      </c>
      <c r="C91" s="34" t="s">
        <v>6</v>
      </c>
      <c r="D91" s="34" t="s">
        <v>6</v>
      </c>
      <c r="E91" s="34" t="s">
        <v>6</v>
      </c>
      <c r="F91" s="34" t="s">
        <v>6</v>
      </c>
      <c r="G91" s="35" t="s">
        <v>6</v>
      </c>
      <c r="H91" s="35" t="s">
        <v>6</v>
      </c>
      <c r="I91" s="35" t="s">
        <v>6</v>
      </c>
      <c r="J91" s="34" t="s">
        <v>6</v>
      </c>
    </row>
    <row r="92" spans="1:10" x14ac:dyDescent="0.25">
      <c r="A92" s="34" t="s">
        <v>6</v>
      </c>
      <c r="B92" s="35" t="s">
        <v>6</v>
      </c>
      <c r="C92" s="34" t="s">
        <v>6</v>
      </c>
      <c r="D92" s="34" t="s">
        <v>6</v>
      </c>
      <c r="E92" s="34" t="s">
        <v>6</v>
      </c>
      <c r="F92" s="34" t="s">
        <v>6</v>
      </c>
      <c r="G92" s="35" t="s">
        <v>6</v>
      </c>
      <c r="H92" s="35" t="s">
        <v>6</v>
      </c>
      <c r="I92" s="35" t="s">
        <v>6</v>
      </c>
      <c r="J92" s="34" t="s">
        <v>6</v>
      </c>
    </row>
    <row r="93" spans="1:10" x14ac:dyDescent="0.25">
      <c r="A93" s="34" t="s">
        <v>6</v>
      </c>
      <c r="B93" s="35" t="s">
        <v>6</v>
      </c>
      <c r="C93" s="34" t="s">
        <v>6</v>
      </c>
      <c r="D93" s="34" t="s">
        <v>6</v>
      </c>
      <c r="E93" s="34" t="s">
        <v>6</v>
      </c>
      <c r="F93" s="34" t="s">
        <v>6</v>
      </c>
      <c r="G93" s="35" t="s">
        <v>6</v>
      </c>
      <c r="H93" s="35" t="s">
        <v>6</v>
      </c>
      <c r="I93" s="35" t="s">
        <v>6</v>
      </c>
      <c r="J93" s="34" t="s">
        <v>6</v>
      </c>
    </row>
    <row r="94" spans="1:10" x14ac:dyDescent="0.25">
      <c r="A94" s="34" t="s">
        <v>6</v>
      </c>
      <c r="B94" s="35" t="s">
        <v>6</v>
      </c>
      <c r="C94" s="34" t="s">
        <v>6</v>
      </c>
      <c r="D94" s="34" t="s">
        <v>6</v>
      </c>
      <c r="E94" s="34" t="s">
        <v>6</v>
      </c>
      <c r="F94" s="34" t="s">
        <v>6</v>
      </c>
      <c r="G94" s="35" t="s">
        <v>6</v>
      </c>
      <c r="H94" s="35" t="s">
        <v>6</v>
      </c>
      <c r="I94" s="35" t="s">
        <v>6</v>
      </c>
      <c r="J94" s="34" t="s">
        <v>6</v>
      </c>
    </row>
    <row r="95" spans="1:10" x14ac:dyDescent="0.25">
      <c r="A95" s="34" t="s">
        <v>6</v>
      </c>
      <c r="B95" s="35" t="s">
        <v>6</v>
      </c>
      <c r="C95" s="34" t="s">
        <v>6</v>
      </c>
      <c r="D95" s="34" t="s">
        <v>6</v>
      </c>
      <c r="E95" s="34" t="s">
        <v>6</v>
      </c>
      <c r="F95" s="34" t="s">
        <v>6</v>
      </c>
      <c r="G95" s="35" t="s">
        <v>6</v>
      </c>
      <c r="H95" s="35" t="s">
        <v>6</v>
      </c>
      <c r="I95" s="35" t="s">
        <v>6</v>
      </c>
      <c r="J95" s="34" t="s">
        <v>6</v>
      </c>
    </row>
    <row r="96" spans="1:10" x14ac:dyDescent="0.25">
      <c r="A96" s="34" t="s">
        <v>6</v>
      </c>
      <c r="B96" s="35" t="s">
        <v>6</v>
      </c>
      <c r="C96" s="34" t="s">
        <v>6</v>
      </c>
      <c r="D96" s="34" t="s">
        <v>6</v>
      </c>
      <c r="E96" s="34" t="s">
        <v>6</v>
      </c>
      <c r="F96" s="34" t="s">
        <v>6</v>
      </c>
      <c r="G96" s="35" t="s">
        <v>6</v>
      </c>
      <c r="H96" s="35" t="s">
        <v>6</v>
      </c>
      <c r="I96" s="35" t="s">
        <v>6</v>
      </c>
      <c r="J96" s="34" t="s">
        <v>6</v>
      </c>
    </row>
    <row r="97" spans="1:10" x14ac:dyDescent="0.25">
      <c r="A97" s="34" t="s">
        <v>6</v>
      </c>
      <c r="B97" s="35" t="s">
        <v>6</v>
      </c>
      <c r="C97" s="34" t="s">
        <v>6</v>
      </c>
      <c r="D97" s="34" t="s">
        <v>6</v>
      </c>
      <c r="E97" s="34" t="s">
        <v>6</v>
      </c>
      <c r="F97" s="34" t="s">
        <v>6</v>
      </c>
      <c r="G97" s="35" t="s">
        <v>6</v>
      </c>
      <c r="H97" s="35" t="s">
        <v>6</v>
      </c>
      <c r="I97" s="35" t="s">
        <v>6</v>
      </c>
      <c r="J97" s="34" t="s">
        <v>6</v>
      </c>
    </row>
    <row r="98" spans="1:10" x14ac:dyDescent="0.25">
      <c r="A98" s="34" t="s">
        <v>6</v>
      </c>
      <c r="B98" s="35" t="s">
        <v>6</v>
      </c>
      <c r="C98" s="34" t="s">
        <v>6</v>
      </c>
      <c r="D98" s="34" t="s">
        <v>6</v>
      </c>
      <c r="E98" s="34" t="s">
        <v>6</v>
      </c>
      <c r="F98" s="34" t="s">
        <v>6</v>
      </c>
      <c r="G98" s="35" t="s">
        <v>6</v>
      </c>
      <c r="H98" s="35" t="s">
        <v>6</v>
      </c>
      <c r="I98" s="35" t="s">
        <v>6</v>
      </c>
      <c r="J98" s="34" t="s">
        <v>6</v>
      </c>
    </row>
    <row r="99" spans="1:10" x14ac:dyDescent="0.25">
      <c r="A99" s="34" t="s">
        <v>6</v>
      </c>
      <c r="B99" s="35" t="s">
        <v>6</v>
      </c>
      <c r="C99" s="34" t="s">
        <v>6</v>
      </c>
      <c r="D99" s="34" t="s">
        <v>6</v>
      </c>
      <c r="E99" s="34" t="s">
        <v>6</v>
      </c>
      <c r="F99" s="34" t="s">
        <v>6</v>
      </c>
      <c r="G99" s="35" t="s">
        <v>6</v>
      </c>
      <c r="H99" s="35" t="s">
        <v>6</v>
      </c>
      <c r="I99" s="35" t="s">
        <v>6</v>
      </c>
      <c r="J99" s="34" t="s">
        <v>6</v>
      </c>
    </row>
    <row r="100" spans="1:10" x14ac:dyDescent="0.25">
      <c r="A100" s="34" t="s">
        <v>6</v>
      </c>
      <c r="B100" s="35" t="s">
        <v>6</v>
      </c>
      <c r="C100" s="34" t="s">
        <v>6</v>
      </c>
      <c r="D100" s="34" t="s">
        <v>6</v>
      </c>
      <c r="E100" s="34" t="s">
        <v>6</v>
      </c>
      <c r="F100" s="34" t="s">
        <v>6</v>
      </c>
      <c r="G100" s="35" t="s">
        <v>6</v>
      </c>
      <c r="H100" s="35" t="s">
        <v>6</v>
      </c>
      <c r="I100" s="35" t="s">
        <v>6</v>
      </c>
      <c r="J100" s="34" t="s">
        <v>6</v>
      </c>
    </row>
    <row r="101" spans="1:10" x14ac:dyDescent="0.25">
      <c r="A101" s="34" t="s">
        <v>6</v>
      </c>
      <c r="B101" s="35" t="s">
        <v>6</v>
      </c>
      <c r="C101" s="34" t="s">
        <v>6</v>
      </c>
      <c r="D101" s="34" t="s">
        <v>6</v>
      </c>
      <c r="E101" s="34" t="s">
        <v>6</v>
      </c>
      <c r="F101" s="34" t="s">
        <v>6</v>
      </c>
      <c r="G101" s="35" t="s">
        <v>6</v>
      </c>
      <c r="H101" s="35" t="s">
        <v>6</v>
      </c>
      <c r="I101" s="35" t="s">
        <v>6</v>
      </c>
      <c r="J101" s="34" t="s">
        <v>6</v>
      </c>
    </row>
    <row r="102" spans="1:10" x14ac:dyDescent="0.25">
      <c r="A102" s="34" t="s">
        <v>6</v>
      </c>
      <c r="B102" s="35" t="s">
        <v>6</v>
      </c>
      <c r="C102" s="34" t="s">
        <v>6</v>
      </c>
      <c r="D102" s="34" t="s">
        <v>6</v>
      </c>
      <c r="E102" s="34" t="s">
        <v>6</v>
      </c>
      <c r="F102" s="34" t="s">
        <v>6</v>
      </c>
      <c r="G102" s="35" t="s">
        <v>6</v>
      </c>
      <c r="H102" s="35" t="s">
        <v>6</v>
      </c>
      <c r="I102" s="35" t="s">
        <v>6</v>
      </c>
      <c r="J102" s="34" t="s">
        <v>6</v>
      </c>
    </row>
    <row r="103" spans="1:10" x14ac:dyDescent="0.25">
      <c r="A103" s="34" t="s">
        <v>6</v>
      </c>
      <c r="B103" s="35" t="s">
        <v>6</v>
      </c>
      <c r="C103" s="34" t="s">
        <v>6</v>
      </c>
      <c r="D103" s="34" t="s">
        <v>6</v>
      </c>
      <c r="E103" s="34" t="s">
        <v>6</v>
      </c>
      <c r="F103" s="34" t="s">
        <v>6</v>
      </c>
      <c r="G103" s="35" t="s">
        <v>6</v>
      </c>
      <c r="H103" s="35" t="s">
        <v>6</v>
      </c>
      <c r="I103" s="35" t="s">
        <v>6</v>
      </c>
      <c r="J103" s="34" t="s">
        <v>6</v>
      </c>
    </row>
    <row r="104" spans="1:10" x14ac:dyDescent="0.25">
      <c r="A104" s="34" t="s">
        <v>6</v>
      </c>
      <c r="B104" s="35" t="s">
        <v>6</v>
      </c>
      <c r="C104" s="34" t="s">
        <v>6</v>
      </c>
      <c r="D104" s="34" t="s">
        <v>6</v>
      </c>
      <c r="E104" s="34" t="s">
        <v>6</v>
      </c>
      <c r="F104" s="34" t="s">
        <v>6</v>
      </c>
      <c r="G104" s="35" t="s">
        <v>6</v>
      </c>
      <c r="H104" s="35" t="s">
        <v>6</v>
      </c>
      <c r="I104" s="35" t="s">
        <v>6</v>
      </c>
      <c r="J104" s="34" t="s">
        <v>6</v>
      </c>
    </row>
    <row r="105" spans="1:10" x14ac:dyDescent="0.25">
      <c r="A105" s="34" t="s">
        <v>6</v>
      </c>
      <c r="B105" s="35" t="s">
        <v>6</v>
      </c>
      <c r="C105" s="34" t="s">
        <v>6</v>
      </c>
      <c r="D105" s="34" t="s">
        <v>6</v>
      </c>
      <c r="E105" s="34" t="s">
        <v>6</v>
      </c>
      <c r="F105" s="34" t="s">
        <v>6</v>
      </c>
      <c r="G105" s="35" t="s">
        <v>6</v>
      </c>
      <c r="H105" s="35" t="s">
        <v>6</v>
      </c>
      <c r="I105" s="35" t="s">
        <v>6</v>
      </c>
      <c r="J105" s="34" t="s">
        <v>6</v>
      </c>
    </row>
    <row r="106" spans="1:10" x14ac:dyDescent="0.25">
      <c r="A106" s="34" t="s">
        <v>6</v>
      </c>
      <c r="B106" s="35" t="s">
        <v>6</v>
      </c>
      <c r="C106" s="34" t="s">
        <v>6</v>
      </c>
      <c r="D106" s="34" t="s">
        <v>6</v>
      </c>
      <c r="E106" s="34" t="s">
        <v>6</v>
      </c>
      <c r="F106" s="34" t="s">
        <v>6</v>
      </c>
      <c r="G106" s="35" t="s">
        <v>6</v>
      </c>
      <c r="H106" s="35" t="s">
        <v>6</v>
      </c>
      <c r="I106" s="35" t="s">
        <v>6</v>
      </c>
      <c r="J106" s="34" t="s">
        <v>6</v>
      </c>
    </row>
    <row r="107" spans="1:10" x14ac:dyDescent="0.25">
      <c r="A107" s="34" t="s">
        <v>6</v>
      </c>
      <c r="B107" s="35" t="s">
        <v>6</v>
      </c>
      <c r="C107" s="34" t="s">
        <v>6</v>
      </c>
      <c r="D107" s="34" t="s">
        <v>6</v>
      </c>
      <c r="E107" s="34" t="s">
        <v>6</v>
      </c>
      <c r="F107" s="34" t="s">
        <v>6</v>
      </c>
      <c r="G107" s="35" t="s">
        <v>6</v>
      </c>
      <c r="H107" s="35" t="s">
        <v>6</v>
      </c>
      <c r="I107" s="35" t="s">
        <v>6</v>
      </c>
      <c r="J107" s="34" t="s">
        <v>6</v>
      </c>
    </row>
    <row r="108" spans="1:10" x14ac:dyDescent="0.25">
      <c r="A108" s="34" t="s">
        <v>6</v>
      </c>
      <c r="B108" s="35" t="s">
        <v>6</v>
      </c>
      <c r="C108" s="34" t="s">
        <v>6</v>
      </c>
      <c r="D108" s="34" t="s">
        <v>6</v>
      </c>
      <c r="E108" s="34" t="s">
        <v>6</v>
      </c>
      <c r="F108" s="34" t="s">
        <v>6</v>
      </c>
      <c r="G108" s="35" t="s">
        <v>6</v>
      </c>
      <c r="H108" s="35" t="s">
        <v>6</v>
      </c>
      <c r="I108" s="35" t="s">
        <v>6</v>
      </c>
      <c r="J108" s="34" t="s">
        <v>6</v>
      </c>
    </row>
    <row r="109" spans="1:10" x14ac:dyDescent="0.25">
      <c r="A109" s="34" t="s">
        <v>6</v>
      </c>
      <c r="B109" s="35" t="s">
        <v>6</v>
      </c>
      <c r="C109" s="34" t="s">
        <v>6</v>
      </c>
      <c r="D109" s="34" t="s">
        <v>6</v>
      </c>
      <c r="E109" s="34" t="s">
        <v>6</v>
      </c>
      <c r="F109" s="34" t="s">
        <v>6</v>
      </c>
      <c r="G109" s="35" t="s">
        <v>6</v>
      </c>
      <c r="H109" s="35" t="s">
        <v>6</v>
      </c>
      <c r="I109" s="35" t="s">
        <v>6</v>
      </c>
      <c r="J109" s="34" t="s">
        <v>6</v>
      </c>
    </row>
    <row r="110" spans="1:10" x14ac:dyDescent="0.25">
      <c r="A110" s="34" t="s">
        <v>6</v>
      </c>
      <c r="B110" s="35" t="s">
        <v>6</v>
      </c>
      <c r="C110" s="34" t="s">
        <v>6</v>
      </c>
      <c r="D110" s="34" t="s">
        <v>6</v>
      </c>
      <c r="E110" s="34" t="s">
        <v>6</v>
      </c>
      <c r="F110" s="34" t="s">
        <v>6</v>
      </c>
      <c r="G110" s="35" t="s">
        <v>6</v>
      </c>
      <c r="H110" s="35" t="s">
        <v>6</v>
      </c>
      <c r="I110" s="35" t="s">
        <v>6</v>
      </c>
      <c r="J110" s="34" t="s">
        <v>6</v>
      </c>
    </row>
    <row r="111" spans="1:10" x14ac:dyDescent="0.25">
      <c r="A111" s="34" t="s">
        <v>6</v>
      </c>
      <c r="B111" s="35" t="s">
        <v>6</v>
      </c>
      <c r="C111" s="34" t="s">
        <v>6</v>
      </c>
      <c r="D111" s="34" t="s">
        <v>6</v>
      </c>
      <c r="E111" s="34" t="s">
        <v>6</v>
      </c>
      <c r="F111" s="34" t="s">
        <v>6</v>
      </c>
      <c r="G111" s="35" t="s">
        <v>6</v>
      </c>
      <c r="H111" s="35" t="s">
        <v>6</v>
      </c>
      <c r="I111" s="35" t="s">
        <v>6</v>
      </c>
      <c r="J111" s="34" t="s">
        <v>6</v>
      </c>
    </row>
    <row r="112" spans="1:10" x14ac:dyDescent="0.25">
      <c r="A112" s="34" t="s">
        <v>6</v>
      </c>
      <c r="B112" s="35" t="s">
        <v>6</v>
      </c>
      <c r="C112" s="34" t="s">
        <v>6</v>
      </c>
      <c r="D112" s="34" t="s">
        <v>6</v>
      </c>
      <c r="E112" s="34" t="s">
        <v>6</v>
      </c>
      <c r="F112" s="34" t="s">
        <v>6</v>
      </c>
      <c r="G112" s="35" t="s">
        <v>6</v>
      </c>
      <c r="H112" s="35" t="s">
        <v>6</v>
      </c>
      <c r="I112" s="35" t="s">
        <v>6</v>
      </c>
      <c r="J112" s="34" t="s">
        <v>6</v>
      </c>
    </row>
    <row r="113" spans="1:10" x14ac:dyDescent="0.25">
      <c r="A113" s="34" t="s">
        <v>6</v>
      </c>
      <c r="B113" s="35" t="s">
        <v>6</v>
      </c>
      <c r="C113" s="34" t="s">
        <v>6</v>
      </c>
      <c r="D113" s="34" t="s">
        <v>6</v>
      </c>
      <c r="E113" s="34" t="s">
        <v>6</v>
      </c>
      <c r="F113" s="34" t="s">
        <v>6</v>
      </c>
      <c r="G113" s="35" t="s">
        <v>6</v>
      </c>
      <c r="H113" s="35" t="s">
        <v>6</v>
      </c>
      <c r="I113" s="35" t="s">
        <v>6</v>
      </c>
      <c r="J113" s="34" t="s">
        <v>6</v>
      </c>
    </row>
    <row r="114" spans="1:10" x14ac:dyDescent="0.25">
      <c r="A114" s="34" t="s">
        <v>6</v>
      </c>
      <c r="B114" s="35" t="s">
        <v>6</v>
      </c>
      <c r="C114" s="34" t="s">
        <v>6</v>
      </c>
      <c r="D114" s="34" t="s">
        <v>6</v>
      </c>
      <c r="E114" s="34" t="s">
        <v>6</v>
      </c>
      <c r="F114" s="34" t="s">
        <v>6</v>
      </c>
      <c r="G114" s="35" t="s">
        <v>6</v>
      </c>
      <c r="H114" s="35" t="s">
        <v>6</v>
      </c>
      <c r="I114" s="35" t="s">
        <v>6</v>
      </c>
      <c r="J114" s="34" t="s">
        <v>6</v>
      </c>
    </row>
    <row r="115" spans="1:10" x14ac:dyDescent="0.25">
      <c r="A115" s="34" t="s">
        <v>6</v>
      </c>
      <c r="B115" s="35" t="s">
        <v>6</v>
      </c>
      <c r="C115" s="34" t="s">
        <v>6</v>
      </c>
      <c r="D115" s="34" t="s">
        <v>6</v>
      </c>
      <c r="E115" s="34" t="s">
        <v>6</v>
      </c>
      <c r="F115" s="34" t="s">
        <v>6</v>
      </c>
      <c r="G115" s="35" t="s">
        <v>6</v>
      </c>
      <c r="H115" s="35" t="s">
        <v>6</v>
      </c>
      <c r="I115" s="35" t="s">
        <v>6</v>
      </c>
      <c r="J115" s="34" t="s">
        <v>6</v>
      </c>
    </row>
    <row r="116" spans="1:10" x14ac:dyDescent="0.25">
      <c r="A116" s="34" t="s">
        <v>6</v>
      </c>
      <c r="B116" s="35" t="s">
        <v>6</v>
      </c>
      <c r="C116" s="34" t="s">
        <v>6</v>
      </c>
      <c r="D116" s="34" t="s">
        <v>6</v>
      </c>
      <c r="E116" s="34" t="s">
        <v>6</v>
      </c>
      <c r="F116" s="34" t="s">
        <v>6</v>
      </c>
      <c r="G116" s="35" t="s">
        <v>6</v>
      </c>
      <c r="H116" s="35" t="s">
        <v>6</v>
      </c>
      <c r="I116" s="35" t="s">
        <v>6</v>
      </c>
      <c r="J116" s="34" t="s">
        <v>6</v>
      </c>
    </row>
    <row r="117" spans="1:10" x14ac:dyDescent="0.25">
      <c r="A117" s="34" t="s">
        <v>6</v>
      </c>
      <c r="B117" s="35" t="s">
        <v>6</v>
      </c>
      <c r="C117" s="34" t="s">
        <v>6</v>
      </c>
      <c r="D117" s="34" t="s">
        <v>6</v>
      </c>
      <c r="E117" s="34" t="s">
        <v>6</v>
      </c>
      <c r="F117" s="34" t="s">
        <v>6</v>
      </c>
      <c r="G117" s="35" t="s">
        <v>6</v>
      </c>
      <c r="H117" s="35" t="s">
        <v>6</v>
      </c>
      <c r="I117" s="35" t="s">
        <v>6</v>
      </c>
      <c r="J117" s="34" t="s">
        <v>6</v>
      </c>
    </row>
    <row r="118" spans="1:10" x14ac:dyDescent="0.25">
      <c r="A118" s="34" t="s">
        <v>6</v>
      </c>
      <c r="B118" s="35" t="s">
        <v>6</v>
      </c>
      <c r="C118" s="34" t="s">
        <v>6</v>
      </c>
      <c r="D118" s="34" t="s">
        <v>6</v>
      </c>
      <c r="E118" s="34" t="s">
        <v>6</v>
      </c>
      <c r="F118" s="34" t="s">
        <v>6</v>
      </c>
      <c r="G118" s="35" t="s">
        <v>6</v>
      </c>
      <c r="H118" s="35" t="s">
        <v>6</v>
      </c>
      <c r="I118" s="35" t="s">
        <v>6</v>
      </c>
      <c r="J118" s="34" t="s">
        <v>6</v>
      </c>
    </row>
    <row r="119" spans="1:10" x14ac:dyDescent="0.25">
      <c r="A119" s="34" t="s">
        <v>6</v>
      </c>
      <c r="B119" s="35" t="s">
        <v>6</v>
      </c>
      <c r="C119" s="34" t="s">
        <v>6</v>
      </c>
      <c r="D119" s="34" t="s">
        <v>6</v>
      </c>
      <c r="E119" s="34" t="s">
        <v>6</v>
      </c>
      <c r="F119" s="34" t="s">
        <v>6</v>
      </c>
      <c r="G119" s="35" t="s">
        <v>6</v>
      </c>
      <c r="H119" s="35" t="s">
        <v>6</v>
      </c>
      <c r="I119" s="35" t="s">
        <v>6</v>
      </c>
      <c r="J119" s="34" t="s">
        <v>6</v>
      </c>
    </row>
    <row r="120" spans="1:10" x14ac:dyDescent="0.25">
      <c r="A120" s="34" t="s">
        <v>6</v>
      </c>
      <c r="B120" s="35" t="s">
        <v>6</v>
      </c>
      <c r="C120" s="34" t="s">
        <v>6</v>
      </c>
      <c r="D120" s="34" t="s">
        <v>6</v>
      </c>
      <c r="E120" s="34" t="s">
        <v>6</v>
      </c>
      <c r="F120" s="34" t="s">
        <v>6</v>
      </c>
      <c r="G120" s="35" t="s">
        <v>6</v>
      </c>
      <c r="H120" s="35" t="s">
        <v>6</v>
      </c>
      <c r="I120" s="35" t="s">
        <v>6</v>
      </c>
      <c r="J120" s="34" t="s">
        <v>6</v>
      </c>
    </row>
    <row r="121" spans="1:10" x14ac:dyDescent="0.25">
      <c r="A121" s="34" t="s">
        <v>6</v>
      </c>
      <c r="B121" s="35" t="s">
        <v>6</v>
      </c>
      <c r="C121" s="34" t="s">
        <v>6</v>
      </c>
      <c r="D121" s="34" t="s">
        <v>6</v>
      </c>
      <c r="E121" s="34" t="s">
        <v>6</v>
      </c>
      <c r="F121" s="34" t="s">
        <v>6</v>
      </c>
      <c r="G121" s="35" t="s">
        <v>6</v>
      </c>
      <c r="H121" s="35" t="s">
        <v>6</v>
      </c>
      <c r="I121" s="35" t="s">
        <v>6</v>
      </c>
      <c r="J121" s="34" t="s">
        <v>6</v>
      </c>
    </row>
    <row r="122" spans="1:10" x14ac:dyDescent="0.25">
      <c r="A122" s="34" t="s">
        <v>6</v>
      </c>
      <c r="B122" s="35" t="s">
        <v>6</v>
      </c>
      <c r="C122" s="34" t="s">
        <v>6</v>
      </c>
      <c r="D122" s="34" t="s">
        <v>6</v>
      </c>
      <c r="E122" s="34" t="s">
        <v>6</v>
      </c>
      <c r="F122" s="34" t="s">
        <v>6</v>
      </c>
      <c r="G122" s="35" t="s">
        <v>6</v>
      </c>
      <c r="H122" s="35" t="s">
        <v>6</v>
      </c>
      <c r="I122" s="35" t="s">
        <v>6</v>
      </c>
      <c r="J122" s="34" t="s">
        <v>6</v>
      </c>
    </row>
    <row r="123" spans="1:10" x14ac:dyDescent="0.25">
      <c r="A123" s="34" t="s">
        <v>6</v>
      </c>
      <c r="B123" s="35" t="s">
        <v>6</v>
      </c>
      <c r="C123" s="34" t="s">
        <v>6</v>
      </c>
      <c r="D123" s="34" t="s">
        <v>6</v>
      </c>
      <c r="E123" s="34" t="s">
        <v>6</v>
      </c>
      <c r="F123" s="34" t="s">
        <v>6</v>
      </c>
      <c r="G123" s="35" t="s">
        <v>6</v>
      </c>
      <c r="H123" s="35" t="s">
        <v>6</v>
      </c>
      <c r="I123" s="35" t="s">
        <v>6</v>
      </c>
      <c r="J123" s="34" t="s">
        <v>6</v>
      </c>
    </row>
    <row r="124" spans="1:10" x14ac:dyDescent="0.25">
      <c r="A124" s="34" t="s">
        <v>6</v>
      </c>
      <c r="B124" s="35" t="s">
        <v>6</v>
      </c>
      <c r="C124" s="34" t="s">
        <v>6</v>
      </c>
      <c r="D124" s="34" t="s">
        <v>6</v>
      </c>
      <c r="E124" s="34" t="s">
        <v>6</v>
      </c>
      <c r="F124" s="34" t="s">
        <v>6</v>
      </c>
      <c r="G124" s="35" t="s">
        <v>6</v>
      </c>
      <c r="H124" s="35" t="s">
        <v>6</v>
      </c>
      <c r="I124" s="35" t="s">
        <v>6</v>
      </c>
      <c r="J124" s="34" t="s">
        <v>6</v>
      </c>
    </row>
    <row r="125" spans="1:10" x14ac:dyDescent="0.25">
      <c r="A125" s="34" t="s">
        <v>6</v>
      </c>
      <c r="B125" s="35" t="s">
        <v>6</v>
      </c>
      <c r="C125" s="34" t="s">
        <v>6</v>
      </c>
      <c r="D125" s="34" t="s">
        <v>6</v>
      </c>
      <c r="E125" s="34" t="s">
        <v>6</v>
      </c>
      <c r="F125" s="34" t="s">
        <v>6</v>
      </c>
      <c r="G125" s="35" t="s">
        <v>6</v>
      </c>
      <c r="H125" s="35" t="s">
        <v>6</v>
      </c>
      <c r="I125" s="35" t="s">
        <v>6</v>
      </c>
      <c r="J125" s="34" t="s">
        <v>6</v>
      </c>
    </row>
    <row r="126" spans="1:10" x14ac:dyDescent="0.25">
      <c r="A126" s="34" t="s">
        <v>6</v>
      </c>
      <c r="B126" s="35" t="s">
        <v>6</v>
      </c>
      <c r="C126" s="34" t="s">
        <v>6</v>
      </c>
      <c r="D126" s="34" t="s">
        <v>6</v>
      </c>
      <c r="E126" s="34" t="s">
        <v>6</v>
      </c>
      <c r="F126" s="34" t="s">
        <v>6</v>
      </c>
      <c r="G126" s="35" t="s">
        <v>6</v>
      </c>
      <c r="H126" s="35" t="s">
        <v>6</v>
      </c>
      <c r="I126" s="35" t="s">
        <v>6</v>
      </c>
      <c r="J126" s="34" t="s">
        <v>6</v>
      </c>
    </row>
    <row r="127" spans="1:10" x14ac:dyDescent="0.25">
      <c r="A127" s="34" t="s">
        <v>6</v>
      </c>
      <c r="B127" s="35" t="s">
        <v>6</v>
      </c>
      <c r="C127" s="34" t="s">
        <v>6</v>
      </c>
      <c r="D127" s="34" t="s">
        <v>6</v>
      </c>
      <c r="E127" s="34" t="s">
        <v>6</v>
      </c>
      <c r="F127" s="34" t="s">
        <v>6</v>
      </c>
      <c r="G127" s="35" t="s">
        <v>6</v>
      </c>
      <c r="H127" s="35" t="s">
        <v>6</v>
      </c>
      <c r="I127" s="35" t="s">
        <v>6</v>
      </c>
      <c r="J127" s="34" t="s">
        <v>6</v>
      </c>
    </row>
    <row r="128" spans="1:10" x14ac:dyDescent="0.25">
      <c r="A128" s="34" t="s">
        <v>6</v>
      </c>
      <c r="B128" s="35" t="s">
        <v>6</v>
      </c>
      <c r="C128" s="34" t="s">
        <v>6</v>
      </c>
      <c r="D128" s="34" t="s">
        <v>6</v>
      </c>
      <c r="E128" s="34" t="s">
        <v>6</v>
      </c>
      <c r="F128" s="34" t="s">
        <v>6</v>
      </c>
      <c r="G128" s="35" t="s">
        <v>6</v>
      </c>
      <c r="H128" s="35" t="s">
        <v>6</v>
      </c>
      <c r="I128" s="35" t="s">
        <v>6</v>
      </c>
      <c r="J128" s="34" t="s">
        <v>6</v>
      </c>
    </row>
    <row r="129" spans="1:10" x14ac:dyDescent="0.25">
      <c r="A129" s="34" t="s">
        <v>6</v>
      </c>
      <c r="B129" s="35" t="s">
        <v>6</v>
      </c>
      <c r="C129" s="34" t="s">
        <v>6</v>
      </c>
      <c r="D129" s="34" t="s">
        <v>6</v>
      </c>
      <c r="E129" s="34" t="s">
        <v>6</v>
      </c>
      <c r="F129" s="34" t="s">
        <v>6</v>
      </c>
      <c r="G129" s="35" t="s">
        <v>6</v>
      </c>
      <c r="H129" s="35" t="s">
        <v>6</v>
      </c>
      <c r="I129" s="35" t="s">
        <v>6</v>
      </c>
      <c r="J129" s="34" t="s">
        <v>6</v>
      </c>
    </row>
    <row r="130" spans="1:10" x14ac:dyDescent="0.25">
      <c r="A130" s="34" t="s">
        <v>6</v>
      </c>
      <c r="B130" s="35" t="s">
        <v>6</v>
      </c>
      <c r="C130" s="34" t="s">
        <v>6</v>
      </c>
      <c r="D130" s="34" t="s">
        <v>6</v>
      </c>
      <c r="E130" s="34" t="s">
        <v>6</v>
      </c>
      <c r="F130" s="34" t="s">
        <v>6</v>
      </c>
      <c r="G130" s="35" t="s">
        <v>6</v>
      </c>
      <c r="H130" s="35" t="s">
        <v>6</v>
      </c>
      <c r="I130" s="35" t="s">
        <v>6</v>
      </c>
      <c r="J130" s="34" t="s">
        <v>6</v>
      </c>
    </row>
    <row r="131" spans="1:10" x14ac:dyDescent="0.25">
      <c r="A131" s="34" t="s">
        <v>6</v>
      </c>
      <c r="B131" s="35" t="s">
        <v>6</v>
      </c>
      <c r="C131" s="34" t="s">
        <v>6</v>
      </c>
      <c r="D131" s="34" t="s">
        <v>6</v>
      </c>
      <c r="E131" s="34" t="s">
        <v>6</v>
      </c>
      <c r="F131" s="34" t="s">
        <v>6</v>
      </c>
      <c r="G131" s="35" t="s">
        <v>6</v>
      </c>
      <c r="H131" s="35" t="s">
        <v>6</v>
      </c>
      <c r="I131" s="35" t="s">
        <v>6</v>
      </c>
      <c r="J131" s="34" t="s">
        <v>6</v>
      </c>
    </row>
    <row r="132" spans="1:10" x14ac:dyDescent="0.25">
      <c r="A132" s="34" t="s">
        <v>6</v>
      </c>
      <c r="B132" s="35" t="s">
        <v>6</v>
      </c>
      <c r="C132" s="34" t="s">
        <v>6</v>
      </c>
      <c r="D132" s="34" t="s">
        <v>6</v>
      </c>
      <c r="E132" s="34" t="s">
        <v>6</v>
      </c>
      <c r="F132" s="34" t="s">
        <v>6</v>
      </c>
      <c r="G132" s="35" t="s">
        <v>6</v>
      </c>
      <c r="H132" s="35" t="s">
        <v>6</v>
      </c>
      <c r="I132" s="35" t="s">
        <v>6</v>
      </c>
      <c r="J132" s="34" t="s">
        <v>6</v>
      </c>
    </row>
    <row r="133" spans="1:10" x14ac:dyDescent="0.25">
      <c r="A133" s="34" t="s">
        <v>6</v>
      </c>
      <c r="B133" s="35" t="s">
        <v>6</v>
      </c>
      <c r="C133" s="34" t="s">
        <v>6</v>
      </c>
      <c r="D133" s="34" t="s">
        <v>6</v>
      </c>
      <c r="E133" s="34" t="s">
        <v>6</v>
      </c>
      <c r="F133" s="34" t="s">
        <v>6</v>
      </c>
      <c r="G133" s="35" t="s">
        <v>6</v>
      </c>
      <c r="H133" s="35" t="s">
        <v>6</v>
      </c>
      <c r="I133" s="35" t="s">
        <v>6</v>
      </c>
      <c r="J133" s="34" t="s">
        <v>6</v>
      </c>
    </row>
    <row r="134" spans="1:10" x14ac:dyDescent="0.25">
      <c r="A134" s="34" t="s">
        <v>6</v>
      </c>
      <c r="B134" s="35" t="s">
        <v>6</v>
      </c>
      <c r="C134" s="34" t="s">
        <v>6</v>
      </c>
      <c r="D134" s="34" t="s">
        <v>6</v>
      </c>
      <c r="E134" s="34" t="s">
        <v>6</v>
      </c>
      <c r="F134" s="34" t="s">
        <v>6</v>
      </c>
      <c r="G134" s="35" t="s">
        <v>6</v>
      </c>
      <c r="H134" s="35" t="s">
        <v>6</v>
      </c>
      <c r="I134" s="35" t="s">
        <v>6</v>
      </c>
      <c r="J134" s="34" t="s">
        <v>6</v>
      </c>
    </row>
    <row r="135" spans="1:10" x14ac:dyDescent="0.25">
      <c r="A135" s="34" t="s">
        <v>6</v>
      </c>
      <c r="B135" s="35" t="s">
        <v>6</v>
      </c>
      <c r="C135" s="34" t="s">
        <v>6</v>
      </c>
      <c r="D135" s="34" t="s">
        <v>6</v>
      </c>
      <c r="E135" s="34" t="s">
        <v>6</v>
      </c>
      <c r="F135" s="34" t="s">
        <v>6</v>
      </c>
      <c r="G135" s="35" t="s">
        <v>6</v>
      </c>
      <c r="H135" s="35" t="s">
        <v>6</v>
      </c>
      <c r="I135" s="35" t="s">
        <v>6</v>
      </c>
      <c r="J135" s="34" t="s">
        <v>6</v>
      </c>
    </row>
    <row r="136" spans="1:10" x14ac:dyDescent="0.25">
      <c r="A136" s="34" t="s">
        <v>6</v>
      </c>
      <c r="B136" s="35" t="s">
        <v>6</v>
      </c>
      <c r="C136" s="34" t="s">
        <v>6</v>
      </c>
      <c r="D136" s="34" t="s">
        <v>6</v>
      </c>
      <c r="E136" s="34" t="s">
        <v>6</v>
      </c>
      <c r="F136" s="34" t="s">
        <v>6</v>
      </c>
      <c r="G136" s="35" t="s">
        <v>6</v>
      </c>
      <c r="H136" s="35" t="s">
        <v>6</v>
      </c>
      <c r="I136" s="35" t="s">
        <v>6</v>
      </c>
      <c r="J136" s="34" t="s">
        <v>6</v>
      </c>
    </row>
    <row r="137" spans="1:10" x14ac:dyDescent="0.25">
      <c r="A137" s="34" t="s">
        <v>6</v>
      </c>
      <c r="B137" s="35" t="s">
        <v>6</v>
      </c>
      <c r="C137" s="34" t="s">
        <v>6</v>
      </c>
      <c r="D137" s="34" t="s">
        <v>6</v>
      </c>
      <c r="E137" s="34" t="s">
        <v>6</v>
      </c>
      <c r="F137" s="34" t="s">
        <v>6</v>
      </c>
      <c r="G137" s="35" t="s">
        <v>6</v>
      </c>
      <c r="H137" s="35" t="s">
        <v>6</v>
      </c>
      <c r="I137" s="35" t="s">
        <v>6</v>
      </c>
      <c r="J137" s="34" t="s">
        <v>6</v>
      </c>
    </row>
    <row r="138" spans="1:10" x14ac:dyDescent="0.25">
      <c r="A138" s="34" t="s">
        <v>6</v>
      </c>
      <c r="B138" s="35" t="s">
        <v>6</v>
      </c>
      <c r="C138" s="34" t="s">
        <v>6</v>
      </c>
      <c r="D138" s="34" t="s">
        <v>6</v>
      </c>
      <c r="E138" s="34" t="s">
        <v>6</v>
      </c>
      <c r="F138" s="34" t="s">
        <v>6</v>
      </c>
      <c r="G138" s="35" t="s">
        <v>6</v>
      </c>
      <c r="H138" s="35" t="s">
        <v>6</v>
      </c>
      <c r="I138" s="35" t="s">
        <v>6</v>
      </c>
      <c r="J138" s="34" t="s">
        <v>6</v>
      </c>
    </row>
    <row r="139" spans="1:10" x14ac:dyDescent="0.25">
      <c r="A139" s="34" t="s">
        <v>6</v>
      </c>
      <c r="B139" s="35" t="s">
        <v>6</v>
      </c>
      <c r="C139" s="34" t="s">
        <v>6</v>
      </c>
      <c r="D139" s="34" t="s">
        <v>6</v>
      </c>
      <c r="E139" s="34" t="s">
        <v>6</v>
      </c>
      <c r="F139" s="34" t="s">
        <v>6</v>
      </c>
      <c r="G139" s="35" t="s">
        <v>6</v>
      </c>
      <c r="H139" s="35" t="s">
        <v>6</v>
      </c>
      <c r="I139" s="35" t="s">
        <v>6</v>
      </c>
      <c r="J139" s="34" t="s">
        <v>6</v>
      </c>
    </row>
    <row r="140" spans="1:10" x14ac:dyDescent="0.25">
      <c r="A140" s="34" t="s">
        <v>6</v>
      </c>
      <c r="B140" s="35" t="s">
        <v>6</v>
      </c>
      <c r="C140" s="34" t="s">
        <v>6</v>
      </c>
      <c r="D140" s="34" t="s">
        <v>6</v>
      </c>
      <c r="E140" s="34" t="s">
        <v>6</v>
      </c>
      <c r="F140" s="34" t="s">
        <v>6</v>
      </c>
      <c r="G140" s="35" t="s">
        <v>6</v>
      </c>
      <c r="H140" s="35" t="s">
        <v>6</v>
      </c>
      <c r="I140" s="35" t="s">
        <v>6</v>
      </c>
      <c r="J140" s="34" t="s">
        <v>6</v>
      </c>
    </row>
    <row r="141" spans="1:10" x14ac:dyDescent="0.25">
      <c r="A141" s="34" t="s">
        <v>6</v>
      </c>
      <c r="B141" s="35" t="s">
        <v>6</v>
      </c>
      <c r="C141" s="34" t="s">
        <v>6</v>
      </c>
      <c r="D141" s="34" t="s">
        <v>6</v>
      </c>
      <c r="E141" s="34" t="s">
        <v>6</v>
      </c>
      <c r="F141" s="34" t="s">
        <v>6</v>
      </c>
      <c r="G141" s="35" t="s">
        <v>6</v>
      </c>
      <c r="H141" s="35" t="s">
        <v>6</v>
      </c>
      <c r="I141" s="35" t="s">
        <v>6</v>
      </c>
      <c r="J141" s="34" t="s">
        <v>6</v>
      </c>
    </row>
    <row r="142" spans="1:10" x14ac:dyDescent="0.25">
      <c r="A142" s="34" t="s">
        <v>6</v>
      </c>
      <c r="B142" s="35" t="s">
        <v>6</v>
      </c>
      <c r="C142" s="34" t="s">
        <v>6</v>
      </c>
      <c r="D142" s="34" t="s">
        <v>6</v>
      </c>
      <c r="E142" s="34" t="s">
        <v>6</v>
      </c>
      <c r="F142" s="34" t="s">
        <v>6</v>
      </c>
      <c r="G142" s="35" t="s">
        <v>6</v>
      </c>
      <c r="H142" s="35" t="s">
        <v>6</v>
      </c>
      <c r="I142" s="35" t="s">
        <v>6</v>
      </c>
      <c r="J142" s="34" t="s">
        <v>6</v>
      </c>
    </row>
    <row r="143" spans="1:10" x14ac:dyDescent="0.25">
      <c r="A143" s="34" t="s">
        <v>6</v>
      </c>
      <c r="B143" s="35" t="s">
        <v>6</v>
      </c>
      <c r="C143" s="34" t="s">
        <v>6</v>
      </c>
      <c r="D143" s="34" t="s">
        <v>6</v>
      </c>
      <c r="E143" s="34" t="s">
        <v>6</v>
      </c>
      <c r="F143" s="34" t="s">
        <v>6</v>
      </c>
      <c r="G143" s="35" t="s">
        <v>6</v>
      </c>
      <c r="H143" s="35" t="s">
        <v>6</v>
      </c>
      <c r="I143" s="35" t="s">
        <v>6</v>
      </c>
      <c r="J143" s="34" t="s">
        <v>6</v>
      </c>
    </row>
    <row r="144" spans="1:10" x14ac:dyDescent="0.25">
      <c r="A144" s="34" t="s">
        <v>6</v>
      </c>
      <c r="B144" s="35" t="s">
        <v>6</v>
      </c>
      <c r="C144" s="34" t="s">
        <v>6</v>
      </c>
      <c r="D144" s="34" t="s">
        <v>6</v>
      </c>
      <c r="E144" s="34" t="s">
        <v>6</v>
      </c>
      <c r="F144" s="34" t="s">
        <v>6</v>
      </c>
      <c r="G144" s="35" t="s">
        <v>6</v>
      </c>
      <c r="H144" s="35" t="s">
        <v>6</v>
      </c>
      <c r="I144" s="35" t="s">
        <v>6</v>
      </c>
      <c r="J144" s="34" t="s">
        <v>6</v>
      </c>
    </row>
    <row r="145" spans="1:10" x14ac:dyDescent="0.25">
      <c r="A145" s="34" t="s">
        <v>6</v>
      </c>
      <c r="B145" s="35" t="s">
        <v>6</v>
      </c>
      <c r="C145" s="34" t="s">
        <v>6</v>
      </c>
      <c r="D145" s="34" t="s">
        <v>6</v>
      </c>
      <c r="E145" s="34" t="s">
        <v>6</v>
      </c>
      <c r="F145" s="34" t="s">
        <v>6</v>
      </c>
      <c r="G145" s="35" t="s">
        <v>6</v>
      </c>
      <c r="H145" s="35" t="s">
        <v>6</v>
      </c>
      <c r="I145" s="35" t="s">
        <v>6</v>
      </c>
      <c r="J145" s="34" t="s">
        <v>6</v>
      </c>
    </row>
    <row r="146" spans="1:10" x14ac:dyDescent="0.25">
      <c r="A146" s="34" t="s">
        <v>6</v>
      </c>
      <c r="B146" s="35" t="s">
        <v>6</v>
      </c>
      <c r="C146" s="34" t="s">
        <v>6</v>
      </c>
      <c r="D146" s="34" t="s">
        <v>6</v>
      </c>
      <c r="E146" s="34" t="s">
        <v>6</v>
      </c>
      <c r="F146" s="34" t="s">
        <v>6</v>
      </c>
      <c r="G146" s="35" t="s">
        <v>6</v>
      </c>
      <c r="H146" s="35" t="s">
        <v>6</v>
      </c>
      <c r="I146" s="35" t="s">
        <v>6</v>
      </c>
      <c r="J146" s="34" t="s">
        <v>6</v>
      </c>
    </row>
    <row r="147" spans="1:10" x14ac:dyDescent="0.25">
      <c r="A147" s="34" t="s">
        <v>6</v>
      </c>
      <c r="B147" s="35" t="s">
        <v>6</v>
      </c>
      <c r="C147" s="34" t="s">
        <v>6</v>
      </c>
      <c r="D147" s="34" t="s">
        <v>6</v>
      </c>
      <c r="E147" s="34" t="s">
        <v>6</v>
      </c>
      <c r="F147" s="34" t="s">
        <v>6</v>
      </c>
      <c r="G147" s="35" t="s">
        <v>6</v>
      </c>
      <c r="H147" s="35" t="s">
        <v>6</v>
      </c>
      <c r="I147" s="35" t="s">
        <v>6</v>
      </c>
      <c r="J147" s="34" t="s">
        <v>6</v>
      </c>
    </row>
    <row r="148" spans="1:10" x14ac:dyDescent="0.25">
      <c r="A148" s="34" t="s">
        <v>6</v>
      </c>
      <c r="B148" s="35" t="s">
        <v>6</v>
      </c>
      <c r="C148" s="34" t="s">
        <v>6</v>
      </c>
      <c r="D148" s="34" t="s">
        <v>6</v>
      </c>
      <c r="E148" s="34" t="s">
        <v>6</v>
      </c>
      <c r="F148" s="34" t="s">
        <v>6</v>
      </c>
      <c r="G148" s="35" t="s">
        <v>6</v>
      </c>
      <c r="H148" s="35" t="s">
        <v>6</v>
      </c>
      <c r="I148" s="35" t="s">
        <v>6</v>
      </c>
      <c r="J148" s="34" t="s">
        <v>6</v>
      </c>
    </row>
    <row r="149" spans="1:10" x14ac:dyDescent="0.25">
      <c r="A149" s="34" t="s">
        <v>6</v>
      </c>
      <c r="B149" s="35" t="s">
        <v>6</v>
      </c>
      <c r="C149" s="34" t="s">
        <v>6</v>
      </c>
      <c r="D149" s="34" t="s">
        <v>6</v>
      </c>
      <c r="E149" s="34" t="s">
        <v>6</v>
      </c>
      <c r="F149" s="34" t="s">
        <v>6</v>
      </c>
      <c r="G149" s="35" t="s">
        <v>6</v>
      </c>
      <c r="H149" s="35" t="s">
        <v>6</v>
      </c>
      <c r="I149" s="35" t="s">
        <v>6</v>
      </c>
      <c r="J149" s="34" t="s">
        <v>6</v>
      </c>
    </row>
    <row r="150" spans="1:10" x14ac:dyDescent="0.25">
      <c r="A150" s="34" t="s">
        <v>6</v>
      </c>
      <c r="B150" s="35" t="s">
        <v>6</v>
      </c>
      <c r="C150" s="34" t="s">
        <v>6</v>
      </c>
      <c r="D150" s="34" t="s">
        <v>6</v>
      </c>
      <c r="E150" s="34" t="s">
        <v>6</v>
      </c>
      <c r="F150" s="34" t="s">
        <v>6</v>
      </c>
      <c r="G150" s="35" t="s">
        <v>6</v>
      </c>
      <c r="H150" s="35" t="s">
        <v>6</v>
      </c>
      <c r="I150" s="35" t="s">
        <v>6</v>
      </c>
      <c r="J150" s="34" t="s">
        <v>6</v>
      </c>
    </row>
    <row r="151" spans="1:10" x14ac:dyDescent="0.25">
      <c r="A151" s="34" t="s">
        <v>6</v>
      </c>
      <c r="B151" s="35" t="s">
        <v>6</v>
      </c>
      <c r="C151" s="34" t="s">
        <v>6</v>
      </c>
      <c r="D151" s="34" t="s">
        <v>6</v>
      </c>
      <c r="E151" s="34" t="s">
        <v>6</v>
      </c>
      <c r="F151" s="34" t="s">
        <v>6</v>
      </c>
      <c r="G151" s="35" t="s">
        <v>6</v>
      </c>
      <c r="H151" s="35" t="s">
        <v>6</v>
      </c>
      <c r="I151" s="35" t="s">
        <v>6</v>
      </c>
      <c r="J151" s="34" t="s">
        <v>6</v>
      </c>
    </row>
    <row r="152" spans="1:10" x14ac:dyDescent="0.25">
      <c r="A152" s="34" t="s">
        <v>6</v>
      </c>
      <c r="B152" s="35" t="s">
        <v>6</v>
      </c>
      <c r="C152" s="34" t="s">
        <v>6</v>
      </c>
      <c r="D152" s="34" t="s">
        <v>6</v>
      </c>
      <c r="E152" s="34" t="s">
        <v>6</v>
      </c>
      <c r="F152" s="34" t="s">
        <v>6</v>
      </c>
      <c r="G152" s="35" t="s">
        <v>6</v>
      </c>
      <c r="H152" s="35" t="s">
        <v>6</v>
      </c>
      <c r="I152" s="35" t="s">
        <v>6</v>
      </c>
      <c r="J152" s="34" t="s">
        <v>6</v>
      </c>
    </row>
    <row r="153" spans="1:10" x14ac:dyDescent="0.25">
      <c r="A153" s="34" t="s">
        <v>6</v>
      </c>
      <c r="B153" s="35" t="s">
        <v>6</v>
      </c>
      <c r="C153" s="34" t="s">
        <v>6</v>
      </c>
      <c r="D153" s="34" t="s">
        <v>6</v>
      </c>
      <c r="E153" s="34" t="s">
        <v>6</v>
      </c>
      <c r="F153" s="34" t="s">
        <v>6</v>
      </c>
      <c r="G153" s="35" t="s">
        <v>6</v>
      </c>
      <c r="H153" s="35" t="s">
        <v>6</v>
      </c>
      <c r="I153" s="35" t="s">
        <v>6</v>
      </c>
      <c r="J153" s="34" t="s">
        <v>6</v>
      </c>
    </row>
    <row r="154" spans="1:10" x14ac:dyDescent="0.25">
      <c r="A154" s="34" t="s">
        <v>6</v>
      </c>
      <c r="B154" s="35" t="s">
        <v>6</v>
      </c>
      <c r="C154" s="34" t="s">
        <v>6</v>
      </c>
      <c r="D154" s="34" t="s">
        <v>6</v>
      </c>
      <c r="E154" s="34" t="s">
        <v>6</v>
      </c>
      <c r="F154" s="34" t="s">
        <v>6</v>
      </c>
      <c r="G154" s="35" t="s">
        <v>6</v>
      </c>
      <c r="H154" s="35" t="s">
        <v>6</v>
      </c>
      <c r="I154" s="35" t="s">
        <v>6</v>
      </c>
      <c r="J154" s="34" t="s">
        <v>6</v>
      </c>
    </row>
    <row r="155" spans="1:10" x14ac:dyDescent="0.25">
      <c r="A155" s="34" t="s">
        <v>6</v>
      </c>
      <c r="B155" s="35" t="s">
        <v>6</v>
      </c>
      <c r="C155" s="34" t="s">
        <v>6</v>
      </c>
      <c r="D155" s="34" t="s">
        <v>6</v>
      </c>
      <c r="E155" s="34" t="s">
        <v>6</v>
      </c>
      <c r="F155" s="34" t="s">
        <v>6</v>
      </c>
      <c r="G155" s="35" t="s">
        <v>6</v>
      </c>
      <c r="H155" s="35" t="s">
        <v>6</v>
      </c>
      <c r="I155" s="35" t="s">
        <v>6</v>
      </c>
      <c r="J155" s="34" t="s">
        <v>6</v>
      </c>
    </row>
    <row r="156" spans="1:10" x14ac:dyDescent="0.25">
      <c r="A156" s="34" t="s">
        <v>6</v>
      </c>
      <c r="B156" s="35" t="s">
        <v>6</v>
      </c>
      <c r="C156" s="34" t="s">
        <v>6</v>
      </c>
      <c r="D156" s="34" t="s">
        <v>6</v>
      </c>
      <c r="E156" s="34" t="s">
        <v>6</v>
      </c>
      <c r="F156" s="34" t="s">
        <v>6</v>
      </c>
      <c r="G156" s="35" t="s">
        <v>6</v>
      </c>
      <c r="H156" s="35" t="s">
        <v>6</v>
      </c>
      <c r="I156" s="35" t="s">
        <v>6</v>
      </c>
      <c r="J156" s="34" t="s">
        <v>6</v>
      </c>
    </row>
    <row r="157" spans="1:10" x14ac:dyDescent="0.25">
      <c r="A157" s="34" t="s">
        <v>6</v>
      </c>
      <c r="B157" s="35" t="s">
        <v>6</v>
      </c>
      <c r="C157" s="34" t="s">
        <v>6</v>
      </c>
      <c r="D157" s="34" t="s">
        <v>6</v>
      </c>
      <c r="E157" s="34" t="s">
        <v>6</v>
      </c>
      <c r="F157" s="34" t="s">
        <v>6</v>
      </c>
      <c r="G157" s="35" t="s">
        <v>6</v>
      </c>
      <c r="H157" s="35" t="s">
        <v>6</v>
      </c>
      <c r="I157" s="35" t="s">
        <v>6</v>
      </c>
      <c r="J157" s="34" t="s">
        <v>6</v>
      </c>
    </row>
    <row r="158" spans="1:10" x14ac:dyDescent="0.25">
      <c r="A158" s="34" t="s">
        <v>6</v>
      </c>
      <c r="B158" s="35" t="s">
        <v>6</v>
      </c>
      <c r="C158" s="34" t="s">
        <v>6</v>
      </c>
      <c r="D158" s="34" t="s">
        <v>6</v>
      </c>
      <c r="E158" s="34" t="s">
        <v>6</v>
      </c>
      <c r="F158" s="34" t="s">
        <v>6</v>
      </c>
      <c r="G158" s="35" t="s">
        <v>6</v>
      </c>
      <c r="H158" s="35" t="s">
        <v>6</v>
      </c>
      <c r="I158" s="35" t="s">
        <v>6</v>
      </c>
      <c r="J158" s="34" t="s">
        <v>6</v>
      </c>
    </row>
    <row r="159" spans="1:10" x14ac:dyDescent="0.25">
      <c r="A159" s="34" t="s">
        <v>6</v>
      </c>
      <c r="B159" s="35" t="s">
        <v>6</v>
      </c>
      <c r="C159" s="34" t="s">
        <v>6</v>
      </c>
      <c r="D159" s="34" t="s">
        <v>6</v>
      </c>
      <c r="E159" s="34" t="s">
        <v>6</v>
      </c>
      <c r="F159" s="34" t="s">
        <v>6</v>
      </c>
      <c r="G159" s="35" t="s">
        <v>6</v>
      </c>
      <c r="H159" s="35" t="s">
        <v>6</v>
      </c>
      <c r="I159" s="35" t="s">
        <v>6</v>
      </c>
      <c r="J159" s="34" t="s">
        <v>6</v>
      </c>
    </row>
    <row r="160" spans="1:10" x14ac:dyDescent="0.25">
      <c r="A160" s="34" t="s">
        <v>6</v>
      </c>
      <c r="B160" s="35" t="s">
        <v>6</v>
      </c>
      <c r="C160" s="34" t="s">
        <v>6</v>
      </c>
      <c r="D160" s="34" t="s">
        <v>6</v>
      </c>
      <c r="E160" s="34" t="s">
        <v>6</v>
      </c>
      <c r="F160" s="34" t="s">
        <v>6</v>
      </c>
      <c r="G160" s="35" t="s">
        <v>6</v>
      </c>
      <c r="H160" s="35" t="s">
        <v>6</v>
      </c>
      <c r="I160" s="35" t="s">
        <v>6</v>
      </c>
      <c r="J160" s="34" t="s">
        <v>6</v>
      </c>
    </row>
    <row r="161" spans="1:10" x14ac:dyDescent="0.25">
      <c r="A161" s="34" t="s">
        <v>6</v>
      </c>
      <c r="B161" s="35" t="s">
        <v>6</v>
      </c>
      <c r="C161" s="34" t="s">
        <v>6</v>
      </c>
      <c r="D161" s="34" t="s">
        <v>6</v>
      </c>
      <c r="E161" s="34" t="s">
        <v>6</v>
      </c>
      <c r="F161" s="34" t="s">
        <v>6</v>
      </c>
      <c r="G161" s="35" t="s">
        <v>6</v>
      </c>
      <c r="H161" s="35" t="s">
        <v>6</v>
      </c>
      <c r="I161" s="35" t="s">
        <v>6</v>
      </c>
      <c r="J161" s="34" t="s">
        <v>6</v>
      </c>
    </row>
    <row r="162" spans="1:10" x14ac:dyDescent="0.25">
      <c r="A162" s="34" t="s">
        <v>6</v>
      </c>
      <c r="B162" s="35" t="s">
        <v>6</v>
      </c>
      <c r="C162" s="34" t="s">
        <v>6</v>
      </c>
      <c r="D162" s="34" t="s">
        <v>6</v>
      </c>
      <c r="E162" s="34" t="s">
        <v>6</v>
      </c>
      <c r="F162" s="34" t="s">
        <v>6</v>
      </c>
      <c r="G162" s="35" t="s">
        <v>6</v>
      </c>
      <c r="H162" s="35" t="s">
        <v>6</v>
      </c>
      <c r="I162" s="35" t="s">
        <v>6</v>
      </c>
      <c r="J162" s="34" t="s">
        <v>6</v>
      </c>
    </row>
    <row r="163" spans="1:10" x14ac:dyDescent="0.25">
      <c r="A163" s="34" t="s">
        <v>6</v>
      </c>
      <c r="B163" s="35" t="s">
        <v>6</v>
      </c>
      <c r="C163" s="34" t="s">
        <v>6</v>
      </c>
      <c r="D163" s="34" t="s">
        <v>6</v>
      </c>
      <c r="E163" s="34" t="s">
        <v>6</v>
      </c>
      <c r="F163" s="34" t="s">
        <v>6</v>
      </c>
      <c r="G163" s="35" t="s">
        <v>6</v>
      </c>
      <c r="H163" s="35" t="s">
        <v>6</v>
      </c>
      <c r="I163" s="35" t="s">
        <v>6</v>
      </c>
      <c r="J163" s="34" t="s">
        <v>6</v>
      </c>
    </row>
    <row r="164" spans="1:10" x14ac:dyDescent="0.25">
      <c r="A164" s="34" t="s">
        <v>6</v>
      </c>
      <c r="B164" s="35" t="s">
        <v>6</v>
      </c>
      <c r="C164" s="34" t="s">
        <v>6</v>
      </c>
      <c r="D164" s="34" t="s">
        <v>6</v>
      </c>
      <c r="E164" s="34" t="s">
        <v>6</v>
      </c>
      <c r="F164" s="34" t="s">
        <v>6</v>
      </c>
      <c r="G164" s="35" t="s">
        <v>6</v>
      </c>
      <c r="H164" s="35" t="s">
        <v>6</v>
      </c>
      <c r="I164" s="35" t="s">
        <v>6</v>
      </c>
      <c r="J164" s="34" t="s">
        <v>6</v>
      </c>
    </row>
    <row r="165" spans="1:10" x14ac:dyDescent="0.25">
      <c r="A165" s="34" t="s">
        <v>6</v>
      </c>
      <c r="B165" s="35" t="s">
        <v>6</v>
      </c>
      <c r="C165" s="34" t="s">
        <v>6</v>
      </c>
      <c r="D165" s="34" t="s">
        <v>6</v>
      </c>
      <c r="E165" s="34" t="s">
        <v>6</v>
      </c>
      <c r="F165" s="34" t="s">
        <v>6</v>
      </c>
      <c r="G165" s="35" t="s">
        <v>6</v>
      </c>
      <c r="H165" s="35" t="s">
        <v>6</v>
      </c>
      <c r="I165" s="35" t="s">
        <v>6</v>
      </c>
      <c r="J165" s="34" t="s">
        <v>6</v>
      </c>
    </row>
    <row r="166" spans="1:10" x14ac:dyDescent="0.25">
      <c r="A166" s="34" t="s">
        <v>6</v>
      </c>
      <c r="B166" s="35" t="s">
        <v>6</v>
      </c>
      <c r="C166" s="34" t="s">
        <v>6</v>
      </c>
      <c r="D166" s="34" t="s">
        <v>6</v>
      </c>
      <c r="E166" s="34" t="s">
        <v>6</v>
      </c>
      <c r="F166" s="34" t="s">
        <v>6</v>
      </c>
      <c r="G166" s="35" t="s">
        <v>6</v>
      </c>
      <c r="H166" s="35" t="s">
        <v>6</v>
      </c>
      <c r="I166" s="35" t="s">
        <v>6</v>
      </c>
      <c r="J166" s="34" t="s">
        <v>6</v>
      </c>
    </row>
    <row r="167" spans="1:10" x14ac:dyDescent="0.25">
      <c r="A167" s="34" t="s">
        <v>6</v>
      </c>
      <c r="B167" s="35" t="s">
        <v>6</v>
      </c>
      <c r="C167" s="34" t="s">
        <v>6</v>
      </c>
      <c r="D167" s="34" t="s">
        <v>6</v>
      </c>
      <c r="E167" s="34" t="s">
        <v>6</v>
      </c>
      <c r="F167" s="34" t="s">
        <v>6</v>
      </c>
      <c r="G167" s="35" t="s">
        <v>6</v>
      </c>
      <c r="H167" s="35" t="s">
        <v>6</v>
      </c>
      <c r="I167" s="35" t="s">
        <v>6</v>
      </c>
      <c r="J167" s="34" t="s">
        <v>6</v>
      </c>
    </row>
    <row r="168" spans="1:10" x14ac:dyDescent="0.25">
      <c r="A168" s="34" t="s">
        <v>6</v>
      </c>
      <c r="B168" s="35" t="s">
        <v>6</v>
      </c>
      <c r="C168" s="34" t="s">
        <v>6</v>
      </c>
      <c r="D168" s="34" t="s">
        <v>6</v>
      </c>
      <c r="E168" s="34" t="s">
        <v>6</v>
      </c>
      <c r="F168" s="34" t="s">
        <v>6</v>
      </c>
      <c r="G168" s="35" t="s">
        <v>6</v>
      </c>
      <c r="H168" s="35" t="s">
        <v>6</v>
      </c>
      <c r="I168" s="35" t="s">
        <v>6</v>
      </c>
      <c r="J168" s="34" t="s">
        <v>6</v>
      </c>
    </row>
    <row r="169" spans="1:10" x14ac:dyDescent="0.25">
      <c r="A169" s="34" t="s">
        <v>6</v>
      </c>
      <c r="B169" s="35" t="s">
        <v>6</v>
      </c>
      <c r="C169" s="34" t="s">
        <v>6</v>
      </c>
      <c r="D169" s="34" t="s">
        <v>6</v>
      </c>
      <c r="E169" s="34" t="s">
        <v>6</v>
      </c>
      <c r="F169" s="34" t="s">
        <v>6</v>
      </c>
      <c r="G169" s="35" t="s">
        <v>6</v>
      </c>
      <c r="H169" s="35" t="s">
        <v>6</v>
      </c>
      <c r="I169" s="35" t="s">
        <v>6</v>
      </c>
      <c r="J169" s="34" t="s">
        <v>6</v>
      </c>
    </row>
    <row r="170" spans="1:10" x14ac:dyDescent="0.25">
      <c r="A170" s="34" t="s">
        <v>6</v>
      </c>
      <c r="B170" s="35" t="s">
        <v>6</v>
      </c>
      <c r="C170" s="34" t="s">
        <v>6</v>
      </c>
      <c r="D170" s="34" t="s">
        <v>6</v>
      </c>
      <c r="E170" s="34" t="s">
        <v>6</v>
      </c>
      <c r="F170" s="34" t="s">
        <v>6</v>
      </c>
      <c r="G170" s="35" t="s">
        <v>6</v>
      </c>
      <c r="H170" s="35" t="s">
        <v>6</v>
      </c>
      <c r="I170" s="35" t="s">
        <v>6</v>
      </c>
      <c r="J170" s="34" t="s">
        <v>6</v>
      </c>
    </row>
    <row r="171" spans="1:10" x14ac:dyDescent="0.25">
      <c r="A171" s="34" t="s">
        <v>6</v>
      </c>
      <c r="B171" s="35" t="s">
        <v>6</v>
      </c>
      <c r="C171" s="34" t="s">
        <v>6</v>
      </c>
      <c r="D171" s="34" t="s">
        <v>6</v>
      </c>
      <c r="E171" s="34" t="s">
        <v>6</v>
      </c>
      <c r="F171" s="34" t="s">
        <v>6</v>
      </c>
      <c r="G171" s="35" t="s">
        <v>6</v>
      </c>
      <c r="H171" s="35" t="s">
        <v>6</v>
      </c>
      <c r="I171" s="35" t="s">
        <v>6</v>
      </c>
      <c r="J171" s="34" t="s">
        <v>6</v>
      </c>
    </row>
    <row r="172" spans="1:10" x14ac:dyDescent="0.25">
      <c r="A172" s="34" t="s">
        <v>6</v>
      </c>
      <c r="B172" s="35" t="s">
        <v>6</v>
      </c>
      <c r="C172" s="34" t="s">
        <v>6</v>
      </c>
      <c r="D172" s="34" t="s">
        <v>6</v>
      </c>
      <c r="E172" s="34" t="s">
        <v>6</v>
      </c>
      <c r="F172" s="34" t="s">
        <v>6</v>
      </c>
      <c r="G172" s="35" t="s">
        <v>6</v>
      </c>
      <c r="H172" s="35" t="s">
        <v>6</v>
      </c>
      <c r="I172" s="35" t="s">
        <v>6</v>
      </c>
      <c r="J172" s="34" t="s">
        <v>6</v>
      </c>
    </row>
    <row r="173" spans="1:10" x14ac:dyDescent="0.25">
      <c r="A173" s="34" t="s">
        <v>6</v>
      </c>
      <c r="B173" s="35" t="s">
        <v>6</v>
      </c>
      <c r="C173" s="34" t="s">
        <v>6</v>
      </c>
      <c r="D173" s="34" t="s">
        <v>6</v>
      </c>
      <c r="E173" s="34" t="s">
        <v>6</v>
      </c>
      <c r="F173" s="34" t="s">
        <v>6</v>
      </c>
      <c r="G173" s="35" t="s">
        <v>6</v>
      </c>
      <c r="H173" s="35" t="s">
        <v>6</v>
      </c>
      <c r="I173" s="35" t="s">
        <v>6</v>
      </c>
      <c r="J173" s="34" t="s">
        <v>6</v>
      </c>
    </row>
    <row r="174" spans="1:10" x14ac:dyDescent="0.25">
      <c r="A174" s="34" t="s">
        <v>6</v>
      </c>
      <c r="B174" s="35" t="s">
        <v>6</v>
      </c>
      <c r="C174" s="34" t="s">
        <v>6</v>
      </c>
      <c r="D174" s="34" t="s">
        <v>6</v>
      </c>
      <c r="E174" s="34" t="s">
        <v>6</v>
      </c>
      <c r="F174" s="34" t="s">
        <v>6</v>
      </c>
      <c r="G174" s="35" t="s">
        <v>6</v>
      </c>
      <c r="H174" s="35" t="s">
        <v>6</v>
      </c>
      <c r="I174" s="35" t="s">
        <v>6</v>
      </c>
      <c r="J174" s="34" t="s">
        <v>6</v>
      </c>
    </row>
    <row r="175" spans="1:10" x14ac:dyDescent="0.25">
      <c r="A175" s="34" t="s">
        <v>6</v>
      </c>
      <c r="B175" s="35" t="s">
        <v>6</v>
      </c>
      <c r="C175" s="34" t="s">
        <v>6</v>
      </c>
      <c r="D175" s="34" t="s">
        <v>6</v>
      </c>
      <c r="E175" s="34" t="s">
        <v>6</v>
      </c>
      <c r="F175" s="34" t="s">
        <v>6</v>
      </c>
      <c r="G175" s="35" t="s">
        <v>6</v>
      </c>
      <c r="H175" s="35" t="s">
        <v>6</v>
      </c>
      <c r="I175" s="35" t="s">
        <v>6</v>
      </c>
      <c r="J175" s="34" t="s">
        <v>6</v>
      </c>
    </row>
    <row r="176" spans="1:10" x14ac:dyDescent="0.25">
      <c r="A176" s="34" t="s">
        <v>6</v>
      </c>
      <c r="B176" s="35" t="s">
        <v>6</v>
      </c>
      <c r="C176" s="34" t="s">
        <v>6</v>
      </c>
      <c r="D176" s="34" t="s">
        <v>6</v>
      </c>
      <c r="E176" s="34" t="s">
        <v>6</v>
      </c>
      <c r="F176" s="34" t="s">
        <v>6</v>
      </c>
      <c r="G176" s="35" t="s">
        <v>6</v>
      </c>
      <c r="H176" s="35" t="s">
        <v>6</v>
      </c>
      <c r="I176" s="35" t="s">
        <v>6</v>
      </c>
      <c r="J176" s="34" t="s">
        <v>6</v>
      </c>
    </row>
    <row r="177" spans="1:10" x14ac:dyDescent="0.25">
      <c r="A177" s="34" t="s">
        <v>6</v>
      </c>
      <c r="B177" s="35" t="s">
        <v>6</v>
      </c>
      <c r="C177" s="34" t="s">
        <v>6</v>
      </c>
      <c r="D177" s="34" t="s">
        <v>6</v>
      </c>
      <c r="E177" s="34" t="s">
        <v>6</v>
      </c>
      <c r="F177" s="34" t="s">
        <v>6</v>
      </c>
      <c r="G177" s="35" t="s">
        <v>6</v>
      </c>
      <c r="H177" s="35" t="s">
        <v>6</v>
      </c>
      <c r="I177" s="35" t="s">
        <v>6</v>
      </c>
      <c r="J177" s="34" t="s">
        <v>6</v>
      </c>
    </row>
    <row r="178" spans="1:10" x14ac:dyDescent="0.25">
      <c r="A178" s="34" t="s">
        <v>6</v>
      </c>
      <c r="B178" s="35" t="s">
        <v>6</v>
      </c>
      <c r="C178" s="34" t="s">
        <v>6</v>
      </c>
      <c r="D178" s="34" t="s">
        <v>6</v>
      </c>
      <c r="E178" s="34" t="s">
        <v>6</v>
      </c>
      <c r="F178" s="34" t="s">
        <v>6</v>
      </c>
      <c r="G178" s="35" t="s">
        <v>6</v>
      </c>
      <c r="H178" s="35" t="s">
        <v>6</v>
      </c>
      <c r="I178" s="35" t="s">
        <v>6</v>
      </c>
      <c r="J178" s="34" t="s">
        <v>6</v>
      </c>
    </row>
    <row r="179" spans="1:10" x14ac:dyDescent="0.25">
      <c r="A179" s="34" t="s">
        <v>6</v>
      </c>
      <c r="B179" s="35" t="s">
        <v>6</v>
      </c>
      <c r="C179" s="34" t="s">
        <v>6</v>
      </c>
      <c r="D179" s="34" t="s">
        <v>6</v>
      </c>
      <c r="E179" s="34" t="s">
        <v>6</v>
      </c>
      <c r="F179" s="34" t="s">
        <v>6</v>
      </c>
      <c r="G179" s="35" t="s">
        <v>6</v>
      </c>
      <c r="H179" s="35" t="s">
        <v>6</v>
      </c>
      <c r="I179" s="35" t="s">
        <v>6</v>
      </c>
      <c r="J179" s="34" t="s">
        <v>6</v>
      </c>
    </row>
    <row r="180" spans="1:10" x14ac:dyDescent="0.25">
      <c r="A180" s="34" t="s">
        <v>6</v>
      </c>
      <c r="B180" s="35" t="s">
        <v>6</v>
      </c>
      <c r="C180" s="34" t="s">
        <v>6</v>
      </c>
      <c r="D180" s="34" t="s">
        <v>6</v>
      </c>
      <c r="E180" s="34" t="s">
        <v>6</v>
      </c>
      <c r="F180" s="34" t="s">
        <v>6</v>
      </c>
      <c r="G180" s="35" t="s">
        <v>6</v>
      </c>
      <c r="H180" s="35" t="s">
        <v>6</v>
      </c>
      <c r="I180" s="35" t="s">
        <v>6</v>
      </c>
      <c r="J180" s="34" t="s">
        <v>6</v>
      </c>
    </row>
    <row r="181" spans="1:10" x14ac:dyDescent="0.25">
      <c r="A181" s="34" t="s">
        <v>6</v>
      </c>
      <c r="B181" s="35" t="s">
        <v>6</v>
      </c>
      <c r="C181" s="34" t="s">
        <v>6</v>
      </c>
      <c r="D181" s="34" t="s">
        <v>6</v>
      </c>
      <c r="E181" s="34" t="s">
        <v>6</v>
      </c>
      <c r="F181" s="34" t="s">
        <v>6</v>
      </c>
      <c r="G181" s="35" t="s">
        <v>6</v>
      </c>
      <c r="H181" s="35" t="s">
        <v>6</v>
      </c>
      <c r="I181" s="35" t="s">
        <v>6</v>
      </c>
      <c r="J181" s="34" t="s">
        <v>6</v>
      </c>
    </row>
    <row r="182" spans="1:10" x14ac:dyDescent="0.25">
      <c r="A182" s="34" t="s">
        <v>6</v>
      </c>
      <c r="B182" s="35" t="s">
        <v>6</v>
      </c>
      <c r="C182" s="34" t="s">
        <v>6</v>
      </c>
      <c r="D182" s="34" t="s">
        <v>6</v>
      </c>
      <c r="E182" s="34" t="s">
        <v>6</v>
      </c>
      <c r="F182" s="34" t="s">
        <v>6</v>
      </c>
      <c r="G182" s="35" t="s">
        <v>6</v>
      </c>
      <c r="H182" s="35" t="s">
        <v>6</v>
      </c>
      <c r="I182" s="35" t="s">
        <v>6</v>
      </c>
      <c r="J182" s="34" t="s">
        <v>6</v>
      </c>
    </row>
    <row r="183" spans="1:10" x14ac:dyDescent="0.25">
      <c r="A183" s="34" t="s">
        <v>6</v>
      </c>
      <c r="B183" s="35" t="s">
        <v>6</v>
      </c>
      <c r="C183" s="34" t="s">
        <v>6</v>
      </c>
      <c r="D183" s="34" t="s">
        <v>6</v>
      </c>
      <c r="E183" s="34" t="s">
        <v>6</v>
      </c>
      <c r="F183" s="34" t="s">
        <v>6</v>
      </c>
      <c r="G183" s="35" t="s">
        <v>6</v>
      </c>
      <c r="H183" s="35" t="s">
        <v>6</v>
      </c>
      <c r="I183" s="35" t="s">
        <v>6</v>
      </c>
      <c r="J183" s="34" t="s">
        <v>6</v>
      </c>
    </row>
    <row r="184" spans="1:10" x14ac:dyDescent="0.25">
      <c r="A184" s="34" t="s">
        <v>6</v>
      </c>
      <c r="B184" s="35" t="s">
        <v>6</v>
      </c>
      <c r="C184" s="34" t="s">
        <v>6</v>
      </c>
      <c r="D184" s="34" t="s">
        <v>6</v>
      </c>
      <c r="E184" s="34" t="s">
        <v>6</v>
      </c>
      <c r="F184" s="34" t="s">
        <v>6</v>
      </c>
      <c r="G184" s="35" t="s">
        <v>6</v>
      </c>
      <c r="H184" s="35" t="s">
        <v>6</v>
      </c>
      <c r="I184" s="35" t="s">
        <v>6</v>
      </c>
      <c r="J184" s="34" t="s">
        <v>6</v>
      </c>
    </row>
    <row r="185" spans="1:10" x14ac:dyDescent="0.25">
      <c r="A185" s="34" t="s">
        <v>6</v>
      </c>
      <c r="B185" s="35" t="s">
        <v>6</v>
      </c>
      <c r="C185" s="34" t="s">
        <v>6</v>
      </c>
      <c r="D185" s="34" t="s">
        <v>6</v>
      </c>
      <c r="E185" s="34" t="s">
        <v>6</v>
      </c>
      <c r="F185" s="34" t="s">
        <v>6</v>
      </c>
      <c r="G185" s="35" t="s">
        <v>6</v>
      </c>
      <c r="H185" s="35" t="s">
        <v>6</v>
      </c>
      <c r="I185" s="35" t="s">
        <v>6</v>
      </c>
      <c r="J185" s="34" t="s">
        <v>6</v>
      </c>
    </row>
    <row r="186" spans="1:10" x14ac:dyDescent="0.25">
      <c r="A186" s="34" t="s">
        <v>6</v>
      </c>
      <c r="B186" s="35" t="s">
        <v>6</v>
      </c>
      <c r="C186" s="34" t="s">
        <v>6</v>
      </c>
      <c r="D186" s="34" t="s">
        <v>6</v>
      </c>
      <c r="E186" s="34" t="s">
        <v>6</v>
      </c>
      <c r="F186" s="34" t="s">
        <v>6</v>
      </c>
      <c r="G186" s="35" t="s">
        <v>6</v>
      </c>
      <c r="H186" s="35" t="s">
        <v>6</v>
      </c>
      <c r="I186" s="35" t="s">
        <v>6</v>
      </c>
      <c r="J186" s="34" t="s">
        <v>6</v>
      </c>
    </row>
    <row r="187" spans="1:10" x14ac:dyDescent="0.25">
      <c r="A187" s="34" t="s">
        <v>6</v>
      </c>
      <c r="B187" s="35" t="s">
        <v>6</v>
      </c>
      <c r="C187" s="34" t="s">
        <v>6</v>
      </c>
      <c r="D187" s="34" t="s">
        <v>6</v>
      </c>
      <c r="E187" s="34" t="s">
        <v>6</v>
      </c>
      <c r="F187" s="34" t="s">
        <v>6</v>
      </c>
      <c r="G187" s="35" t="s">
        <v>6</v>
      </c>
      <c r="H187" s="35" t="s">
        <v>6</v>
      </c>
      <c r="I187" s="35" t="s">
        <v>6</v>
      </c>
      <c r="J187" s="34" t="s">
        <v>6</v>
      </c>
    </row>
    <row r="188" spans="1:10" x14ac:dyDescent="0.25">
      <c r="A188" s="34" t="s">
        <v>6</v>
      </c>
      <c r="B188" s="35" t="s">
        <v>6</v>
      </c>
      <c r="C188" s="34" t="s">
        <v>6</v>
      </c>
      <c r="D188" s="34" t="s">
        <v>6</v>
      </c>
      <c r="E188" s="34" t="s">
        <v>6</v>
      </c>
      <c r="F188" s="34" t="s">
        <v>6</v>
      </c>
      <c r="G188" s="35" t="s">
        <v>6</v>
      </c>
      <c r="H188" s="35" t="s">
        <v>6</v>
      </c>
      <c r="I188" s="35" t="s">
        <v>6</v>
      </c>
      <c r="J188" s="34" t="s">
        <v>6</v>
      </c>
    </row>
    <row r="189" spans="1:10" x14ac:dyDescent="0.25">
      <c r="A189" s="34" t="s">
        <v>6</v>
      </c>
      <c r="B189" s="35" t="s">
        <v>6</v>
      </c>
      <c r="C189" s="34" t="s">
        <v>6</v>
      </c>
      <c r="D189" s="34" t="s">
        <v>6</v>
      </c>
      <c r="E189" s="34" t="s">
        <v>6</v>
      </c>
      <c r="F189" s="34" t="s">
        <v>6</v>
      </c>
      <c r="G189" s="35" t="s">
        <v>6</v>
      </c>
      <c r="H189" s="35" t="s">
        <v>6</v>
      </c>
      <c r="I189" s="35" t="s">
        <v>6</v>
      </c>
      <c r="J189" s="34" t="s">
        <v>6</v>
      </c>
    </row>
    <row r="190" spans="1:10" x14ac:dyDescent="0.25">
      <c r="A190" s="34" t="s">
        <v>6</v>
      </c>
      <c r="B190" s="35" t="s">
        <v>6</v>
      </c>
      <c r="C190" s="34" t="s">
        <v>6</v>
      </c>
      <c r="D190" s="34" t="s">
        <v>6</v>
      </c>
      <c r="E190" s="34" t="s">
        <v>6</v>
      </c>
      <c r="F190" s="34" t="s">
        <v>6</v>
      </c>
      <c r="G190" s="35" t="s">
        <v>6</v>
      </c>
      <c r="H190" s="35" t="s">
        <v>6</v>
      </c>
      <c r="I190" s="35" t="s">
        <v>6</v>
      </c>
      <c r="J190" s="34" t="s">
        <v>6</v>
      </c>
    </row>
    <row r="191" spans="1:10" x14ac:dyDescent="0.25">
      <c r="A191" s="34" t="s">
        <v>6</v>
      </c>
      <c r="B191" s="35" t="s">
        <v>6</v>
      </c>
      <c r="C191" s="34" t="s">
        <v>6</v>
      </c>
      <c r="D191" s="34" t="s">
        <v>6</v>
      </c>
      <c r="E191" s="34" t="s">
        <v>6</v>
      </c>
      <c r="F191" s="34" t="s">
        <v>6</v>
      </c>
      <c r="G191" s="35" t="s">
        <v>6</v>
      </c>
      <c r="H191" s="35" t="s">
        <v>6</v>
      </c>
      <c r="I191" s="35" t="s">
        <v>6</v>
      </c>
      <c r="J191" s="34" t="s">
        <v>6</v>
      </c>
    </row>
    <row r="192" spans="1:10" x14ac:dyDescent="0.25">
      <c r="A192" s="34" t="s">
        <v>6</v>
      </c>
      <c r="B192" s="35" t="s">
        <v>6</v>
      </c>
      <c r="C192" s="34" t="s">
        <v>6</v>
      </c>
      <c r="D192" s="34" t="s">
        <v>6</v>
      </c>
      <c r="E192" s="34" t="s">
        <v>6</v>
      </c>
      <c r="F192" s="34" t="s">
        <v>6</v>
      </c>
      <c r="G192" s="35" t="s">
        <v>6</v>
      </c>
      <c r="H192" s="35" t="s">
        <v>6</v>
      </c>
      <c r="I192" s="35" t="s">
        <v>6</v>
      </c>
      <c r="J192" s="34" t="s">
        <v>6</v>
      </c>
    </row>
    <row r="193" spans="1:10" x14ac:dyDescent="0.25">
      <c r="A193" s="34" t="s">
        <v>6</v>
      </c>
      <c r="B193" s="35" t="s">
        <v>6</v>
      </c>
      <c r="C193" s="34" t="s">
        <v>6</v>
      </c>
      <c r="D193" s="34" t="s">
        <v>6</v>
      </c>
      <c r="E193" s="34" t="s">
        <v>6</v>
      </c>
      <c r="F193" s="34" t="s">
        <v>6</v>
      </c>
      <c r="G193" s="35" t="s">
        <v>6</v>
      </c>
      <c r="H193" s="35" t="s">
        <v>6</v>
      </c>
      <c r="I193" s="35" t="s">
        <v>6</v>
      </c>
      <c r="J193" s="34" t="s">
        <v>6</v>
      </c>
    </row>
    <row r="194" spans="1:10" x14ac:dyDescent="0.25">
      <c r="A194" s="34" t="s">
        <v>6</v>
      </c>
      <c r="B194" s="35" t="s">
        <v>6</v>
      </c>
      <c r="C194" s="34" t="s">
        <v>6</v>
      </c>
      <c r="D194" s="34" t="s">
        <v>6</v>
      </c>
      <c r="E194" s="34" t="s">
        <v>6</v>
      </c>
      <c r="F194" s="34" t="s">
        <v>6</v>
      </c>
      <c r="G194" s="35" t="s">
        <v>6</v>
      </c>
      <c r="H194" s="35" t="s">
        <v>6</v>
      </c>
      <c r="I194" s="35" t="s">
        <v>6</v>
      </c>
      <c r="J194" s="34" t="s">
        <v>6</v>
      </c>
    </row>
    <row r="195" spans="1:10" x14ac:dyDescent="0.25">
      <c r="A195" s="34" t="s">
        <v>6</v>
      </c>
      <c r="B195" s="35" t="s">
        <v>6</v>
      </c>
      <c r="C195" s="34" t="s">
        <v>6</v>
      </c>
      <c r="D195" s="34" t="s">
        <v>6</v>
      </c>
      <c r="E195" s="34" t="s">
        <v>6</v>
      </c>
      <c r="F195" s="34" t="s">
        <v>6</v>
      </c>
      <c r="G195" s="35" t="s">
        <v>6</v>
      </c>
      <c r="H195" s="35" t="s">
        <v>6</v>
      </c>
      <c r="I195" s="35" t="s">
        <v>6</v>
      </c>
      <c r="J195" s="34" t="s">
        <v>6</v>
      </c>
    </row>
    <row r="196" spans="1:10" x14ac:dyDescent="0.25">
      <c r="A196" s="34" t="s">
        <v>6</v>
      </c>
      <c r="B196" s="35" t="s">
        <v>6</v>
      </c>
      <c r="C196" s="34" t="s">
        <v>6</v>
      </c>
      <c r="D196" s="34" t="s">
        <v>6</v>
      </c>
      <c r="E196" s="34" t="s">
        <v>6</v>
      </c>
      <c r="F196" s="34" t="s">
        <v>6</v>
      </c>
      <c r="G196" s="35" t="s">
        <v>6</v>
      </c>
      <c r="H196" s="35" t="s">
        <v>6</v>
      </c>
      <c r="I196" s="35" t="s">
        <v>6</v>
      </c>
      <c r="J196" s="34" t="s">
        <v>6</v>
      </c>
    </row>
    <row r="197" spans="1:10" x14ac:dyDescent="0.25">
      <c r="A197" s="34" t="s">
        <v>6</v>
      </c>
      <c r="B197" s="35" t="s">
        <v>6</v>
      </c>
      <c r="C197" s="34" t="s">
        <v>6</v>
      </c>
      <c r="D197" s="34" t="s">
        <v>6</v>
      </c>
      <c r="E197" s="34" t="s">
        <v>6</v>
      </c>
      <c r="F197" s="34" t="s">
        <v>6</v>
      </c>
      <c r="G197" s="35" t="s">
        <v>6</v>
      </c>
      <c r="H197" s="35" t="s">
        <v>6</v>
      </c>
      <c r="I197" s="35" t="s">
        <v>6</v>
      </c>
      <c r="J197" s="34" t="s">
        <v>6</v>
      </c>
    </row>
    <row r="198" spans="1:10" x14ac:dyDescent="0.25">
      <c r="A198" s="34" t="s">
        <v>6</v>
      </c>
      <c r="B198" s="35" t="s">
        <v>6</v>
      </c>
      <c r="C198" s="34" t="s">
        <v>6</v>
      </c>
      <c r="D198" s="34" t="s">
        <v>6</v>
      </c>
      <c r="E198" s="34" t="s">
        <v>6</v>
      </c>
      <c r="F198" s="34" t="s">
        <v>6</v>
      </c>
      <c r="G198" s="35" t="s">
        <v>6</v>
      </c>
      <c r="H198" s="35" t="s">
        <v>6</v>
      </c>
      <c r="I198" s="35" t="s">
        <v>6</v>
      </c>
      <c r="J198" s="34" t="s">
        <v>6</v>
      </c>
    </row>
    <row r="199" spans="1:10" x14ac:dyDescent="0.25">
      <c r="A199" s="34" t="s">
        <v>6</v>
      </c>
      <c r="B199" s="35" t="s">
        <v>6</v>
      </c>
      <c r="C199" s="34" t="s">
        <v>6</v>
      </c>
      <c r="D199" s="34" t="s">
        <v>6</v>
      </c>
      <c r="E199" s="34" t="s">
        <v>6</v>
      </c>
      <c r="F199" s="34" t="s">
        <v>6</v>
      </c>
      <c r="G199" s="35" t="s">
        <v>6</v>
      </c>
      <c r="H199" s="35" t="s">
        <v>6</v>
      </c>
      <c r="I199" s="35" t="s">
        <v>6</v>
      </c>
      <c r="J199" s="34" t="s">
        <v>6</v>
      </c>
    </row>
    <row r="200" spans="1:10" x14ac:dyDescent="0.25">
      <c r="A200" s="34" t="s">
        <v>6</v>
      </c>
      <c r="B200" s="35" t="s">
        <v>6</v>
      </c>
      <c r="C200" s="34" t="s">
        <v>6</v>
      </c>
      <c r="D200" s="34" t="s">
        <v>6</v>
      </c>
      <c r="E200" s="34" t="s">
        <v>6</v>
      </c>
      <c r="F200" s="34" t="s">
        <v>6</v>
      </c>
      <c r="G200" s="35" t="s">
        <v>6</v>
      </c>
      <c r="H200" s="35" t="s">
        <v>6</v>
      </c>
      <c r="I200" s="35" t="s">
        <v>6</v>
      </c>
      <c r="J200" s="34" t="s">
        <v>6</v>
      </c>
    </row>
    <row r="201" spans="1:10" x14ac:dyDescent="0.25">
      <c r="A201" s="34" t="s">
        <v>6</v>
      </c>
      <c r="B201" s="35" t="s">
        <v>6</v>
      </c>
      <c r="C201" s="34" t="s">
        <v>6</v>
      </c>
      <c r="D201" s="34" t="s">
        <v>6</v>
      </c>
      <c r="E201" s="34" t="s">
        <v>6</v>
      </c>
      <c r="F201" s="34" t="s">
        <v>6</v>
      </c>
      <c r="G201" s="35" t="s">
        <v>6</v>
      </c>
      <c r="H201" s="35" t="s">
        <v>6</v>
      </c>
      <c r="I201" s="35" t="s">
        <v>6</v>
      </c>
      <c r="J201" s="34" t="s">
        <v>6</v>
      </c>
    </row>
    <row r="202" spans="1:10" x14ac:dyDescent="0.25">
      <c r="A202" s="34" t="s">
        <v>6</v>
      </c>
      <c r="B202" s="35" t="s">
        <v>6</v>
      </c>
      <c r="C202" s="34" t="s">
        <v>6</v>
      </c>
      <c r="D202" s="34" t="s">
        <v>6</v>
      </c>
      <c r="E202" s="34" t="s">
        <v>6</v>
      </c>
      <c r="F202" s="34" t="s">
        <v>6</v>
      </c>
      <c r="G202" s="35" t="s">
        <v>6</v>
      </c>
      <c r="H202" s="35" t="s">
        <v>6</v>
      </c>
      <c r="I202" s="35" t="s">
        <v>6</v>
      </c>
      <c r="J202" s="34" t="s">
        <v>6</v>
      </c>
    </row>
    <row r="203" spans="1:10" x14ac:dyDescent="0.25">
      <c r="A203" s="34" t="s">
        <v>6</v>
      </c>
      <c r="B203" s="35" t="s">
        <v>6</v>
      </c>
      <c r="C203" s="34" t="s">
        <v>6</v>
      </c>
      <c r="D203" s="34" t="s">
        <v>6</v>
      </c>
      <c r="E203" s="34" t="s">
        <v>6</v>
      </c>
      <c r="F203" s="34" t="s">
        <v>6</v>
      </c>
      <c r="G203" s="35" t="s">
        <v>6</v>
      </c>
      <c r="H203" s="35" t="s">
        <v>6</v>
      </c>
      <c r="I203" s="35" t="s">
        <v>6</v>
      </c>
      <c r="J203" s="34" t="s">
        <v>6</v>
      </c>
    </row>
    <row r="204" spans="1:10" x14ac:dyDescent="0.25">
      <c r="A204" s="34" t="s">
        <v>6</v>
      </c>
      <c r="B204" s="35" t="s">
        <v>6</v>
      </c>
      <c r="C204" s="34" t="s">
        <v>6</v>
      </c>
      <c r="D204" s="34" t="s">
        <v>6</v>
      </c>
      <c r="E204" s="34" t="s">
        <v>6</v>
      </c>
      <c r="F204" s="34" t="s">
        <v>6</v>
      </c>
      <c r="G204" s="35" t="s">
        <v>6</v>
      </c>
      <c r="H204" s="35" t="s">
        <v>6</v>
      </c>
      <c r="I204" s="35" t="s">
        <v>6</v>
      </c>
      <c r="J204" s="34" t="s">
        <v>6</v>
      </c>
    </row>
    <row r="205" spans="1:10" x14ac:dyDescent="0.25">
      <c r="A205" s="34" t="s">
        <v>6</v>
      </c>
      <c r="B205" s="35" t="s">
        <v>6</v>
      </c>
      <c r="C205" s="34" t="s">
        <v>6</v>
      </c>
      <c r="D205" s="34" t="s">
        <v>6</v>
      </c>
      <c r="E205" s="34" t="s">
        <v>6</v>
      </c>
      <c r="F205" s="34" t="s">
        <v>6</v>
      </c>
      <c r="G205" s="35" t="s">
        <v>6</v>
      </c>
      <c r="H205" s="35" t="s">
        <v>6</v>
      </c>
      <c r="I205" s="35" t="s">
        <v>6</v>
      </c>
      <c r="J205" s="34" t="s">
        <v>6</v>
      </c>
    </row>
  </sheetData>
  <mergeCells count="1"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53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2" width="26" customWidth="1"/>
    <col min="3" max="13" width="16" customWidth="1"/>
  </cols>
  <sheetData>
    <row r="2" spans="1:13" x14ac:dyDescent="0.25">
      <c r="A2" s="16" t="s">
        <v>424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4" spans="1:1" x14ac:dyDescent="0.25">
      <c r="A4" s="27" t="s">
        <v>425</v>
      </c>
    </row>
    <row r="5" spans="1:4" x14ac:dyDescent="0.25">
      <c r="A5" s="19" t="s">
        <v>187</v>
      </c>
      <c r="B5" s="19" t="s">
        <v>71</v>
      </c>
      <c r="C5" s="19" t="s">
        <v>146</v>
      </c>
      <c r="D5" s="19" t="s">
        <v>147</v>
      </c>
    </row>
    <row r="6" spans="1:4" x14ac:dyDescent="0.25">
      <c r="A6" s="20" t="s">
        <v>190</v>
      </c>
      <c r="B6" s="20" t="s">
        <v>426</v>
      </c>
      <c r="C6" s="21">
        <f>'1 - ALUNOS MATRICULADOS'!C31+'1 - ALUNOS MATRICULADOS'!C40</f>
      </c>
      <c r="D6" s="21">
        <f>'1 - ALUNOS MATRICULADOS'!D31+'1 - ALUNOS MATRICULADOS'!D40</f>
      </c>
    </row>
    <row r="7" spans="1:4" x14ac:dyDescent="0.25">
      <c r="A7" s="20" t="s">
        <v>72</v>
      </c>
      <c r="B7" s="20" t="s">
        <v>427</v>
      </c>
      <c r="C7" s="21">
        <f>'1 - ALUNOS MATRICULADOS'!D89+'1 - ALUNOS MATRICULADOS'!C128+'1 - ALUNOS MATRICULADOS'!C152</f>
      </c>
      <c r="D7" s="21">
        <f>'1 - ALUNOS MATRICULADOS'!E89+'1 - ALUNOS MATRICULADOS'!D128+'1 - ALUNOS MATRICULADOS'!D152</f>
      </c>
    </row>
    <row r="8" spans="1:4" x14ac:dyDescent="0.25">
      <c r="A8" s="20" t="s">
        <v>192</v>
      </c>
      <c r="B8" s="20" t="s">
        <v>428</v>
      </c>
      <c r="C8" s="21">
        <f>'1 - ALUNOS MATRICULADOS'!C178+'1 - ALUNOS MATRICULADOS'!C214+'1 - ALUNOS MATRICULADOS'!C234</f>
      </c>
      <c r="D8" s="21">
        <f>'1 - ALUNOS MATRICULADOS'!D178+'1 - ALUNOS MATRICULADOS'!D214+'1 - ALUNOS MATRICULADOS'!D234</f>
      </c>
    </row>
    <row r="9" spans="1:4" x14ac:dyDescent="0.25">
      <c r="A9" s="20" t="s">
        <v>193</v>
      </c>
      <c r="B9" s="20" t="s">
        <v>429</v>
      </c>
      <c r="C9" s="21">
        <f>'1 - ALUNOS MATRICULADOS'!C260+'1 - ALUNOS MATRICULADOS'!C299+'1 - ALUNOS MATRICULADOS'!C325</f>
      </c>
      <c r="D9" s="21">
        <f>'1 - ALUNOS MATRICULADOS'!D260+'1 - ALUNOS MATRICULADOS'!D299+'1 - ALUNOS MATRICULADOS'!D325</f>
      </c>
    </row>
    <row r="10" spans="1:4" x14ac:dyDescent="0.25">
      <c r="A10" s="23" t="s">
        <v>430</v>
      </c>
      <c r="B10" s="23" t="s">
        <v>165</v>
      </c>
      <c r="C10" s="24">
        <f>SUM(C6:C9)</f>
      </c>
      <c r="D10" s="24">
        <f>SUM(D6:D9)</f>
      </c>
    </row>
    <row r="12" spans="1:1" x14ac:dyDescent="0.25">
      <c r="A12" s="27" t="s">
        <v>431</v>
      </c>
    </row>
    <row r="13" spans="1:4" x14ac:dyDescent="0.25">
      <c r="A13" s="19" t="s">
        <v>187</v>
      </c>
      <c r="B13" s="19" t="s">
        <v>432</v>
      </c>
      <c r="C13" s="19" t="s">
        <v>188</v>
      </c>
      <c r="D13" s="19" t="s">
        <v>189</v>
      </c>
    </row>
    <row r="14" spans="1:4" x14ac:dyDescent="0.25">
      <c r="A14" s="20" t="s">
        <v>190</v>
      </c>
      <c r="B14" s="20" t="s">
        <v>433</v>
      </c>
      <c r="C14" s="21">
        <f>'2 - PESSOAL_DOCENTE'!C19</f>
      </c>
      <c r="D14" s="21">
        <f>'2 - PESSOAL_DOCENTE'!D19</f>
      </c>
    </row>
    <row r="15" spans="1:4" x14ac:dyDescent="0.25">
      <c r="A15" s="20" t="s">
        <v>72</v>
      </c>
      <c r="B15" s="20" t="s">
        <v>433</v>
      </c>
      <c r="C15" s="21">
        <f>'2 - PESSOAL_DOCENTE'!C37</f>
      </c>
      <c r="D15" s="21">
        <f>'2 - PESSOAL_DOCENTE'!D37</f>
      </c>
    </row>
    <row r="16" spans="1:4" x14ac:dyDescent="0.25">
      <c r="A16" s="20" t="s">
        <v>192</v>
      </c>
      <c r="B16" s="20" t="s">
        <v>433</v>
      </c>
      <c r="C16" s="21">
        <f>'2 - PESSOAL_DOCENTE'!C55</f>
      </c>
      <c r="D16" s="21">
        <f>'2 - PESSOAL_DOCENTE'!D55</f>
      </c>
    </row>
    <row r="17" spans="1:4" x14ac:dyDescent="0.25">
      <c r="A17" s="20" t="s">
        <v>193</v>
      </c>
      <c r="B17" s="20" t="s">
        <v>433</v>
      </c>
      <c r="C17" s="21">
        <f>'2 - PESSOAL_DOCENTE'!C73</f>
      </c>
      <c r="D17" s="21">
        <f>'2 - PESSOAL_DOCENTE'!D73</f>
      </c>
    </row>
    <row r="18" spans="1:4" x14ac:dyDescent="0.25">
      <c r="A18" s="23" t="s">
        <v>434</v>
      </c>
      <c r="B18" s="23" t="s">
        <v>165</v>
      </c>
      <c r="C18" s="24">
        <f>SUM(C14:C17)</f>
      </c>
      <c r="D18" s="24">
        <f>SUM(D14:D17)</f>
      </c>
    </row>
    <row r="20" spans="1:1" x14ac:dyDescent="0.25">
      <c r="A20" s="27" t="s">
        <v>435</v>
      </c>
    </row>
    <row r="21" spans="1:4" x14ac:dyDescent="0.25">
      <c r="A21" s="19" t="s">
        <v>436</v>
      </c>
      <c r="B21" s="19" t="s">
        <v>437</v>
      </c>
      <c r="C21" s="19" t="s">
        <v>438</v>
      </c>
      <c r="D21" s="19" t="s">
        <v>32</v>
      </c>
    </row>
    <row r="22" spans="1:4" x14ac:dyDescent="0.25">
      <c r="A22" s="20" t="s">
        <v>439</v>
      </c>
      <c r="B22" s="20" t="s">
        <v>440</v>
      </c>
      <c r="C22" s="21">
        <f>'3 - INFRAESTRUTURAS'!C55</f>
      </c>
      <c r="D22" s="20" t="s">
        <v>441</v>
      </c>
    </row>
    <row r="23" spans="1:4" x14ac:dyDescent="0.25">
      <c r="A23" s="20" t="s">
        <v>442</v>
      </c>
      <c r="B23" s="20" t="s">
        <v>440</v>
      </c>
      <c r="C23" s="21">
        <f>'3 - INFRAESTRUTURAS'!D55</f>
      </c>
      <c r="D23" s="20" t="s">
        <v>443</v>
      </c>
    </row>
    <row r="24" spans="1:4" x14ac:dyDescent="0.25">
      <c r="A24" s="20" t="s">
        <v>444</v>
      </c>
      <c r="B24" s="20" t="s">
        <v>440</v>
      </c>
      <c r="C24" s="21">
        <f>'3 - INFRAESTRUTURAS'!E55</f>
      </c>
      <c r="D24" s="20" t="s">
        <v>445</v>
      </c>
    </row>
    <row r="25" spans="1:4" x14ac:dyDescent="0.25">
      <c r="A25" s="20" t="s">
        <v>446</v>
      </c>
      <c r="B25" s="20" t="s">
        <v>440</v>
      </c>
      <c r="C25" s="21">
        <f>'3 - INFRAESTRUTURAS'!F55</f>
      </c>
      <c r="D25" s="20" t="s">
        <v>447</v>
      </c>
    </row>
    <row r="26" spans="1:4" x14ac:dyDescent="0.25">
      <c r="A26" s="20" t="s">
        <v>448</v>
      </c>
      <c r="B26" s="20" t="s">
        <v>440</v>
      </c>
      <c r="C26" s="21">
        <f>'3 - INFRAESTRUTURAS'!G55</f>
      </c>
      <c r="D26" s="20" t="s">
        <v>449</v>
      </c>
    </row>
    <row r="28" spans="1:1" x14ac:dyDescent="0.25">
      <c r="A28" s="27" t="s">
        <v>450</v>
      </c>
    </row>
    <row r="29" spans="1:4" x14ac:dyDescent="0.25">
      <c r="A29" s="19" t="s">
        <v>187</v>
      </c>
      <c r="B29" s="19" t="s">
        <v>432</v>
      </c>
      <c r="C29" s="19" t="s">
        <v>451</v>
      </c>
      <c r="D29" s="19" t="s">
        <v>452</v>
      </c>
    </row>
    <row r="30" spans="1:4" x14ac:dyDescent="0.25">
      <c r="A30" s="20" t="s">
        <v>72</v>
      </c>
      <c r="B30" s="20" t="s">
        <v>453</v>
      </c>
      <c r="C30" s="21">
        <f>'5 - ALUNOS REPETENTES'!C36</f>
      </c>
      <c r="D30" s="21">
        <f>'5 - ALUNOS REPETENTES'!D36</f>
      </c>
    </row>
    <row r="31" spans="1:4" x14ac:dyDescent="0.25">
      <c r="A31" s="20" t="s">
        <v>192</v>
      </c>
      <c r="B31" s="20" t="s">
        <v>453</v>
      </c>
      <c r="C31" s="21">
        <f>'5 - ALUNOS REPETENTES'!C76</f>
      </c>
      <c r="D31" s="21">
        <f>'5 - ALUNOS REPETENTES'!D76</f>
      </c>
    </row>
    <row r="32" spans="1:4" x14ac:dyDescent="0.25">
      <c r="A32" s="20" t="s">
        <v>193</v>
      </c>
      <c r="B32" s="20" t="s">
        <v>453</v>
      </c>
      <c r="C32" s="21">
        <f>'5 - ALUNOS REPETENTES'!C117</f>
      </c>
      <c r="D32" s="21">
        <f>'5 - ALUNOS REPETENTES'!D117</f>
      </c>
    </row>
    <row r="33" spans="1:4" x14ac:dyDescent="0.25">
      <c r="A33" s="23" t="s">
        <v>360</v>
      </c>
      <c r="B33" s="23" t="s">
        <v>165</v>
      </c>
      <c r="C33" s="24">
        <f>SUM(C30:C32)</f>
      </c>
      <c r="D33" s="24">
        <f>SUM(D30:D32)</f>
      </c>
    </row>
    <row r="35" spans="1:1" x14ac:dyDescent="0.25">
      <c r="A35" s="27" t="s">
        <v>454</v>
      </c>
    </row>
    <row r="36" spans="1:4" x14ac:dyDescent="0.25">
      <c r="A36" s="19" t="s">
        <v>455</v>
      </c>
      <c r="B36" s="19" t="s">
        <v>145</v>
      </c>
      <c r="C36" s="19" t="s">
        <v>384</v>
      </c>
      <c r="D36" s="19" t="s">
        <v>385</v>
      </c>
    </row>
    <row r="37" spans="1:4" x14ac:dyDescent="0.25">
      <c r="A37" s="20" t="s">
        <v>150</v>
      </c>
      <c r="B37" s="20" t="s">
        <v>456</v>
      </c>
      <c r="C37" s="21">
        <f>'6 - NECESSIDADES EDUCATIVA ESPE'!C10</f>
      </c>
      <c r="D37" s="21">
        <f>'6 - NECESSIDADES EDUCATIVA ESPE'!D10</f>
      </c>
    </row>
    <row r="38" spans="1:4" x14ac:dyDescent="0.25">
      <c r="A38" s="20" t="s">
        <v>152</v>
      </c>
      <c r="B38" s="20" t="s">
        <v>456</v>
      </c>
      <c r="C38" s="21">
        <f>'6 - NECESSIDADES EDUCATIVA ESPE'!C19</f>
      </c>
      <c r="D38" s="21">
        <f>'6 - NECESSIDADES EDUCATIVA ESPE'!D19</f>
      </c>
    </row>
    <row r="39" spans="1:4" x14ac:dyDescent="0.25">
      <c r="A39" s="20" t="s">
        <v>457</v>
      </c>
      <c r="B39" s="20" t="s">
        <v>456</v>
      </c>
      <c r="C39" s="21">
        <f>'6 - NECESSIDADES EDUCATIVA ESPE'!C46</f>
      </c>
      <c r="D39" s="21">
        <f>'6 - NECESSIDADES EDUCATIVA ESPE'!D46</f>
      </c>
    </row>
    <row r="40" spans="1:4" x14ac:dyDescent="0.25">
      <c r="A40" s="20" t="s">
        <v>458</v>
      </c>
      <c r="B40" s="20" t="s">
        <v>456</v>
      </c>
      <c r="C40" s="21">
        <f>'6 - NECESSIDADES EDUCATIVA ESPE'!C73</f>
      </c>
      <c r="D40" s="21">
        <f>'6 - NECESSIDADES EDUCATIVA ESPE'!D73</f>
      </c>
    </row>
    <row r="41" spans="1:4" x14ac:dyDescent="0.25">
      <c r="A41" s="23" t="s">
        <v>386</v>
      </c>
      <c r="B41" s="23" t="s">
        <v>165</v>
      </c>
      <c r="C41" s="24">
        <f>SUM(C37:C40)</f>
      </c>
      <c r="D41" s="24">
        <f>SUM(D37:D40)</f>
      </c>
    </row>
    <row r="44" spans="1:1" x14ac:dyDescent="0.25">
      <c r="A44" s="36" t="s">
        <v>459</v>
      </c>
    </row>
    <row r="46" spans="1:1" x14ac:dyDescent="0.25">
      <c r="A46" s="27" t="s">
        <v>460</v>
      </c>
    </row>
    <row r="47" spans="1:13" x14ac:dyDescent="0.25">
      <c r="A47" s="19" t="s">
        <v>187</v>
      </c>
      <c r="B47" s="19" t="s">
        <v>461</v>
      </c>
      <c r="C47" s="19" t="s">
        <v>462</v>
      </c>
      <c r="D47" s="19"/>
      <c r="E47" s="19" t="s">
        <v>463</v>
      </c>
      <c r="F47" s="19"/>
      <c r="G47" s="19" t="s">
        <v>464</v>
      </c>
      <c r="H47" s="19"/>
      <c r="I47" s="19" t="s">
        <v>465</v>
      </c>
      <c r="J47" s="19"/>
      <c r="K47" s="19" t="s">
        <v>466</v>
      </c>
      <c r="L47" s="19"/>
      <c r="M47" s="19" t="s">
        <v>467</v>
      </c>
    </row>
    <row r="48" spans="1:13" x14ac:dyDescent="0.25">
      <c r="A48" s="19"/>
      <c r="B48" s="19"/>
      <c r="C48" s="19" t="s">
        <v>35</v>
      </c>
      <c r="D48" s="19" t="s">
        <v>36</v>
      </c>
      <c r="E48" s="19" t="s">
        <v>35</v>
      </c>
      <c r="F48" s="19" t="s">
        <v>36</v>
      </c>
      <c r="G48" s="19" t="s">
        <v>35</v>
      </c>
      <c r="H48" s="19" t="s">
        <v>36</v>
      </c>
      <c r="I48" s="19" t="s">
        <v>35</v>
      </c>
      <c r="J48" s="19" t="s">
        <v>36</v>
      </c>
      <c r="K48" s="19" t="s">
        <v>35</v>
      </c>
      <c r="L48" s="19" t="s">
        <v>36</v>
      </c>
      <c r="M48" s="19"/>
    </row>
    <row r="49" spans="1:13" x14ac:dyDescent="0.25">
      <c r="A49" s="23" t="s">
        <v>46</v>
      </c>
      <c r="B49" s="23" t="s">
        <v>325</v>
      </c>
      <c r="C49" s="24">
        <f>SUM(C50:C53)</f>
      </c>
      <c r="D49" s="24">
        <f>SUM(D50:D53)</f>
      </c>
      <c r="E49" s="24">
        <f>SUM(E50:E53)</f>
      </c>
      <c r="F49" s="24">
        <f>SUM(F50:F53)</f>
      </c>
      <c r="G49" s="24">
        <f>SUM(G50:G53)</f>
      </c>
      <c r="H49" s="24">
        <f>SUM(H50:H53)</f>
      </c>
      <c r="I49" s="24">
        <f>SUM(I50:I53)</f>
      </c>
      <c r="J49" s="24">
        <f>SUM(J50:J53)</f>
      </c>
      <c r="K49" s="31">
        <f>IF(C49=E49+G49+I49,"Correcto","Falso")</f>
      </c>
      <c r="L49" s="31">
        <f>IF(D49=F49+H49+J49,"Correcto","Falso")</f>
      </c>
      <c r="M49" s="32">
        <f>C49-(E49+G49+I49)</f>
      </c>
    </row>
    <row r="50" spans="1:13" x14ac:dyDescent="0.25">
      <c r="A50" s="37" t="s">
        <v>9</v>
      </c>
      <c r="B50" s="20" t="s">
        <v>426</v>
      </c>
      <c r="C50" s="21">
        <f>'4 - APROVEITAMENTO'!D275</f>
      </c>
      <c r="D50" s="21">
        <f>'4 - APROVEITAMENTO'!E275</f>
      </c>
      <c r="E50" s="21">
        <f>'4 - APROVEITAMENTO'!F275</f>
      </c>
      <c r="F50" s="21">
        <f>'4 - APROVEITAMENTO'!G275</f>
      </c>
      <c r="G50" s="21">
        <f>'4 - APROVEITAMENTO'!H275</f>
      </c>
      <c r="H50" s="21">
        <f>'4 - APROVEITAMENTO'!I275</f>
      </c>
      <c r="I50" s="21">
        <f>'4 - APROVEITAMENTO'!J275</f>
      </c>
      <c r="J50" s="21">
        <f>'4 - APROVEITAMENTO'!K275</f>
      </c>
      <c r="K50" s="28">
        <f>IF(C50=E50+G50+I50,"Correcto","Falso")</f>
      </c>
      <c r="L50" s="28">
        <f>IF(D50=F50+H50+J50,"Correcto","Falso")</f>
      </c>
      <c r="M50" s="29">
        <f>C50-(E50+G50+I50)</f>
      </c>
    </row>
    <row r="51" spans="1:13" x14ac:dyDescent="0.25">
      <c r="A51" s="37" t="s">
        <v>11</v>
      </c>
      <c r="B51" s="20" t="s">
        <v>427</v>
      </c>
      <c r="C51" s="21">
        <f>'4 - APROVEITAMENTO'!D327</f>
      </c>
      <c r="D51" s="21">
        <f>'4 - APROVEITAMENTO'!E327</f>
      </c>
      <c r="E51" s="21">
        <f>'4 - APROVEITAMENTO'!F327</f>
      </c>
      <c r="F51" s="21">
        <f>'4 - APROVEITAMENTO'!G327</f>
      </c>
      <c r="G51" s="21">
        <f>'4 - APROVEITAMENTO'!H327</f>
      </c>
      <c r="H51" s="21">
        <f>'4 - APROVEITAMENTO'!I327</f>
      </c>
      <c r="I51" s="21">
        <f>'4 - APROVEITAMENTO'!J327</f>
      </c>
      <c r="J51" s="21">
        <f>'4 - APROVEITAMENTO'!K327</f>
      </c>
      <c r="K51" s="28">
        <f>IF(C51=E51+G51+I51,"Correcto","Falso")</f>
      </c>
      <c r="L51" s="28">
        <f>IF(D51=F51+H51+J51,"Correcto","Falso")</f>
      </c>
      <c r="M51" s="29">
        <f>C51-(E51+G51+I51)</f>
      </c>
    </row>
    <row r="52" spans="1:13" x14ac:dyDescent="0.25">
      <c r="A52" s="37" t="s">
        <v>302</v>
      </c>
      <c r="B52" s="20" t="s">
        <v>428</v>
      </c>
      <c r="C52" s="21">
        <f>'4 - APROVEITAMENTO'!D351</f>
      </c>
      <c r="D52" s="21">
        <f>'4 - APROVEITAMENTO'!E351</f>
      </c>
      <c r="E52" s="21">
        <f>'4 - APROVEITAMENTO'!F351</f>
      </c>
      <c r="F52" s="21">
        <f>'4 - APROVEITAMENTO'!G351</f>
      </c>
      <c r="G52" s="21">
        <f>'4 - APROVEITAMENTO'!H351</f>
      </c>
      <c r="H52" s="21">
        <f>'4 - APROVEITAMENTO'!I351</f>
      </c>
      <c r="I52" s="21">
        <f>'4 - APROVEITAMENTO'!J351</f>
      </c>
      <c r="J52" s="21">
        <f>'4 - APROVEITAMENTO'!K351</f>
      </c>
      <c r="K52" s="28">
        <f>IF(C52=E52+G52+I52,"Correcto","Falso")</f>
      </c>
      <c r="L52" s="28">
        <f>IF(D52=F52+H52+J52,"Correcto","Falso")</f>
      </c>
      <c r="M52" s="29">
        <f>C52-(E52+G52+I52)</f>
      </c>
    </row>
    <row r="53" spans="1:13" x14ac:dyDescent="0.25">
      <c r="A53" s="37" t="s">
        <v>323</v>
      </c>
      <c r="B53" s="20" t="s">
        <v>429</v>
      </c>
      <c r="C53" s="21">
        <f>'4 - APROVEITAMENTO'!D371</f>
      </c>
      <c r="D53" s="21">
        <f>'4 - APROVEITAMENTO'!E371</f>
      </c>
      <c r="E53" s="21">
        <f>'4 - APROVEITAMENTO'!F371</f>
      </c>
      <c r="F53" s="21">
        <f>'4 - APROVEITAMENTO'!G371</f>
      </c>
      <c r="G53" s="21">
        <f>'4 - APROVEITAMENTO'!H371</f>
      </c>
      <c r="H53" s="21">
        <f>'4 - APROVEITAMENTO'!I371</f>
      </c>
      <c r="I53" s="21">
        <f>'4 - APROVEITAMENTO'!J371</f>
      </c>
      <c r="J53" s="21">
        <f>'4 - APROVEITAMENTO'!K371</f>
      </c>
      <c r="K53" s="28">
        <f>IF(C53=E53+G53+I53,"Correcto","Falso")</f>
      </c>
      <c r="L53" s="28">
        <f>IF(D53=F53+H53+J53,"Correcto","Falso")</f>
      </c>
      <c r="M53" s="29">
        <f>C53-(E53+G53+I53)</f>
      </c>
    </row>
  </sheetData>
  <mergeCells count="9">
    <mergeCell ref="A2:M2"/>
    <mergeCell ref="C47:D47"/>
    <mergeCell ref="E47:F47"/>
    <mergeCell ref="G47:H47"/>
    <mergeCell ref="I47:J47"/>
    <mergeCell ref="K47:L47"/>
    <mergeCell ref="A47:A48"/>
    <mergeCell ref="B47:B48"/>
    <mergeCell ref="M47:M4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B155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34" customWidth="1"/>
    <col min="3" max="3" width="18" customWidth="1"/>
    <col min="4" max="4" width="20" customWidth="1"/>
    <col min="5" max="5" width="22" customWidth="1"/>
    <col min="6" max="6" width="18" customWidth="1"/>
    <col min="7" max="7" width="26" customWidth="1"/>
    <col min="8" max="8" width="20" customWidth="1"/>
    <col min="9" max="10" width="14" customWidth="1"/>
    <col min="11" max="22" width="15" customWidth="1"/>
    <col min="23" max="26" width="16" customWidth="1"/>
    <col min="27" max="27" width="20" customWidth="1"/>
    <col min="28" max="28" width="28" customWidth="1"/>
  </cols>
  <sheetData>
    <row r="2" spans="1:28" x14ac:dyDescent="0.25">
      <c r="A2" s="16" t="s">
        <v>468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</row>
    <row r="4" ht="36" customHeight="1" spans="1:28" x14ac:dyDescent="0.25">
      <c r="A4" s="19" t="s">
        <v>469</v>
      </c>
      <c r="B4" s="19" t="s">
        <v>415</v>
      </c>
      <c r="C4" s="19" t="s">
        <v>470</v>
      </c>
      <c r="D4" s="19" t="s">
        <v>361</v>
      </c>
      <c r="E4" s="19" t="s">
        <v>471</v>
      </c>
      <c r="F4" s="19" t="s">
        <v>84</v>
      </c>
      <c r="G4" s="19" t="s">
        <v>472</v>
      </c>
      <c r="H4" s="19" t="s">
        <v>473</v>
      </c>
      <c r="I4" s="19" t="s">
        <v>208</v>
      </c>
      <c r="J4" s="19" t="s">
        <v>474</v>
      </c>
      <c r="K4" s="19" t="s">
        <v>475</v>
      </c>
      <c r="L4" s="19" t="s">
        <v>476</v>
      </c>
      <c r="M4" s="19" t="s">
        <v>477</v>
      </c>
      <c r="N4" s="19" t="s">
        <v>478</v>
      </c>
      <c r="O4" s="19" t="s">
        <v>479</v>
      </c>
      <c r="P4" s="19" t="s">
        <v>480</v>
      </c>
      <c r="Q4" s="19" t="s">
        <v>481</v>
      </c>
      <c r="R4" s="19" t="s">
        <v>482</v>
      </c>
      <c r="S4" s="19" t="s">
        <v>483</v>
      </c>
      <c r="T4" s="19" t="s">
        <v>484</v>
      </c>
      <c r="U4" s="19" t="s">
        <v>485</v>
      </c>
      <c r="V4" s="19" t="s">
        <v>486</v>
      </c>
      <c r="W4" s="19" t="s">
        <v>487</v>
      </c>
      <c r="X4" s="19" t="s">
        <v>488</v>
      </c>
      <c r="Y4" s="19" t="s">
        <v>203</v>
      </c>
      <c r="Z4" s="19" t="s">
        <v>489</v>
      </c>
      <c r="AA4" s="19" t="s">
        <v>490</v>
      </c>
      <c r="AB4" s="19" t="s">
        <v>491</v>
      </c>
    </row>
    <row r="5" spans="1:28" x14ac:dyDescent="0.25">
      <c r="A5" s="35" t="s">
        <v>6</v>
      </c>
      <c r="B5" s="34" t="s">
        <v>6</v>
      </c>
      <c r="C5" s="34" t="s">
        <v>6</v>
      </c>
      <c r="D5" s="34" t="s">
        <v>6</v>
      </c>
      <c r="E5" s="34" t="s">
        <v>6</v>
      </c>
      <c r="F5" s="34" t="s">
        <v>6</v>
      </c>
      <c r="G5" s="34" t="s">
        <v>6</v>
      </c>
      <c r="H5" s="34" t="s">
        <v>6</v>
      </c>
      <c r="I5" s="38">
        <v>0</v>
      </c>
      <c r="J5" s="38">
        <v>0</v>
      </c>
      <c r="K5" s="38">
        <v>0</v>
      </c>
      <c r="L5" s="38">
        <v>0</v>
      </c>
      <c r="M5" s="38">
        <v>0</v>
      </c>
      <c r="N5" s="38">
        <v>0</v>
      </c>
      <c r="O5" s="38">
        <v>0</v>
      </c>
      <c r="P5" s="38">
        <v>0</v>
      </c>
      <c r="Q5" s="38">
        <v>0</v>
      </c>
      <c r="R5" s="38">
        <v>0</v>
      </c>
      <c r="S5" s="38">
        <v>0</v>
      </c>
      <c r="T5" s="38">
        <v>0</v>
      </c>
      <c r="U5" s="38">
        <v>0</v>
      </c>
      <c r="V5" s="38">
        <v>0</v>
      </c>
      <c r="W5" s="35" t="s">
        <v>6</v>
      </c>
      <c r="X5" s="35" t="s">
        <v>6</v>
      </c>
      <c r="Y5" s="35" t="s">
        <v>6</v>
      </c>
      <c r="Z5" s="35" t="s">
        <v>6</v>
      </c>
      <c r="AA5" s="34" t="s">
        <v>6</v>
      </c>
      <c r="AB5" s="34" t="s">
        <v>6</v>
      </c>
    </row>
    <row r="6" spans="1:28" x14ac:dyDescent="0.25">
      <c r="A6" s="35" t="s">
        <v>6</v>
      </c>
      <c r="B6" s="34" t="s">
        <v>6</v>
      </c>
      <c r="C6" s="34" t="s">
        <v>6</v>
      </c>
      <c r="D6" s="34" t="s">
        <v>6</v>
      </c>
      <c r="E6" s="34" t="s">
        <v>6</v>
      </c>
      <c r="F6" s="34" t="s">
        <v>6</v>
      </c>
      <c r="G6" s="34" t="s">
        <v>6</v>
      </c>
      <c r="H6" s="34" t="s">
        <v>6</v>
      </c>
      <c r="I6" s="38">
        <v>0</v>
      </c>
      <c r="J6" s="38">
        <v>0</v>
      </c>
      <c r="K6" s="38">
        <v>0</v>
      </c>
      <c r="L6" s="38">
        <v>0</v>
      </c>
      <c r="M6" s="38">
        <v>0</v>
      </c>
      <c r="N6" s="38">
        <v>0</v>
      </c>
      <c r="O6" s="38">
        <v>0</v>
      </c>
      <c r="P6" s="38">
        <v>0</v>
      </c>
      <c r="Q6" s="38">
        <v>0</v>
      </c>
      <c r="R6" s="38">
        <v>0</v>
      </c>
      <c r="S6" s="38">
        <v>0</v>
      </c>
      <c r="T6" s="38">
        <v>0</v>
      </c>
      <c r="U6" s="38">
        <v>0</v>
      </c>
      <c r="V6" s="38">
        <v>0</v>
      </c>
      <c r="W6" s="35" t="s">
        <v>6</v>
      </c>
      <c r="X6" s="35" t="s">
        <v>6</v>
      </c>
      <c r="Y6" s="35" t="s">
        <v>6</v>
      </c>
      <c r="Z6" s="35" t="s">
        <v>6</v>
      </c>
      <c r="AA6" s="34" t="s">
        <v>6</v>
      </c>
      <c r="AB6" s="34" t="s">
        <v>6</v>
      </c>
    </row>
    <row r="7" spans="1:28" x14ac:dyDescent="0.25">
      <c r="A7" s="35" t="s">
        <v>6</v>
      </c>
      <c r="B7" s="34" t="s">
        <v>6</v>
      </c>
      <c r="C7" s="34" t="s">
        <v>6</v>
      </c>
      <c r="D7" s="34" t="s">
        <v>6</v>
      </c>
      <c r="E7" s="34" t="s">
        <v>6</v>
      </c>
      <c r="F7" s="34" t="s">
        <v>6</v>
      </c>
      <c r="G7" s="34" t="s">
        <v>6</v>
      </c>
      <c r="H7" s="34" t="s">
        <v>6</v>
      </c>
      <c r="I7" s="38">
        <v>0</v>
      </c>
      <c r="J7" s="38">
        <v>0</v>
      </c>
      <c r="K7" s="38">
        <v>0</v>
      </c>
      <c r="L7" s="38">
        <v>0</v>
      </c>
      <c r="M7" s="38">
        <v>0</v>
      </c>
      <c r="N7" s="38">
        <v>0</v>
      </c>
      <c r="O7" s="38">
        <v>0</v>
      </c>
      <c r="P7" s="38">
        <v>0</v>
      </c>
      <c r="Q7" s="38">
        <v>0</v>
      </c>
      <c r="R7" s="38">
        <v>0</v>
      </c>
      <c r="S7" s="38">
        <v>0</v>
      </c>
      <c r="T7" s="38">
        <v>0</v>
      </c>
      <c r="U7" s="38">
        <v>0</v>
      </c>
      <c r="V7" s="38">
        <v>0</v>
      </c>
      <c r="W7" s="35" t="s">
        <v>6</v>
      </c>
      <c r="X7" s="35" t="s">
        <v>6</v>
      </c>
      <c r="Y7" s="35" t="s">
        <v>6</v>
      </c>
      <c r="Z7" s="35" t="s">
        <v>6</v>
      </c>
      <c r="AA7" s="34" t="s">
        <v>6</v>
      </c>
      <c r="AB7" s="34" t="s">
        <v>6</v>
      </c>
    </row>
    <row r="8" spans="1:28" x14ac:dyDescent="0.25">
      <c r="A8" s="35" t="s">
        <v>6</v>
      </c>
      <c r="B8" s="34" t="s">
        <v>6</v>
      </c>
      <c r="C8" s="34" t="s">
        <v>6</v>
      </c>
      <c r="D8" s="34" t="s">
        <v>6</v>
      </c>
      <c r="E8" s="34" t="s">
        <v>6</v>
      </c>
      <c r="F8" s="34" t="s">
        <v>6</v>
      </c>
      <c r="G8" s="34" t="s">
        <v>6</v>
      </c>
      <c r="H8" s="34" t="s">
        <v>6</v>
      </c>
      <c r="I8" s="38">
        <v>0</v>
      </c>
      <c r="J8" s="38">
        <v>0</v>
      </c>
      <c r="K8" s="38">
        <v>0</v>
      </c>
      <c r="L8" s="38">
        <v>0</v>
      </c>
      <c r="M8" s="38">
        <v>0</v>
      </c>
      <c r="N8" s="38">
        <v>0</v>
      </c>
      <c r="O8" s="38">
        <v>0</v>
      </c>
      <c r="P8" s="38">
        <v>0</v>
      </c>
      <c r="Q8" s="38">
        <v>0</v>
      </c>
      <c r="R8" s="38">
        <v>0</v>
      </c>
      <c r="S8" s="38">
        <v>0</v>
      </c>
      <c r="T8" s="38">
        <v>0</v>
      </c>
      <c r="U8" s="38">
        <v>0</v>
      </c>
      <c r="V8" s="38">
        <v>0</v>
      </c>
      <c r="W8" s="35" t="s">
        <v>6</v>
      </c>
      <c r="X8" s="35" t="s">
        <v>6</v>
      </c>
      <c r="Y8" s="35" t="s">
        <v>6</v>
      </c>
      <c r="Z8" s="35" t="s">
        <v>6</v>
      </c>
      <c r="AA8" s="34" t="s">
        <v>6</v>
      </c>
      <c r="AB8" s="34" t="s">
        <v>6</v>
      </c>
    </row>
    <row r="9" spans="1:28" x14ac:dyDescent="0.25">
      <c r="A9" s="35" t="s">
        <v>6</v>
      </c>
      <c r="B9" s="34" t="s">
        <v>6</v>
      </c>
      <c r="C9" s="34" t="s">
        <v>6</v>
      </c>
      <c r="D9" s="34" t="s">
        <v>6</v>
      </c>
      <c r="E9" s="34" t="s">
        <v>6</v>
      </c>
      <c r="F9" s="34" t="s">
        <v>6</v>
      </c>
      <c r="G9" s="34" t="s">
        <v>6</v>
      </c>
      <c r="H9" s="34" t="s">
        <v>6</v>
      </c>
      <c r="I9" s="38">
        <v>0</v>
      </c>
      <c r="J9" s="38">
        <v>0</v>
      </c>
      <c r="K9" s="38">
        <v>0</v>
      </c>
      <c r="L9" s="38">
        <v>0</v>
      </c>
      <c r="M9" s="38">
        <v>0</v>
      </c>
      <c r="N9" s="38">
        <v>0</v>
      </c>
      <c r="O9" s="38">
        <v>0</v>
      </c>
      <c r="P9" s="38">
        <v>0</v>
      </c>
      <c r="Q9" s="38">
        <v>0</v>
      </c>
      <c r="R9" s="38">
        <v>0</v>
      </c>
      <c r="S9" s="38">
        <v>0</v>
      </c>
      <c r="T9" s="38">
        <v>0</v>
      </c>
      <c r="U9" s="38">
        <v>0</v>
      </c>
      <c r="V9" s="38">
        <v>0</v>
      </c>
      <c r="W9" s="35" t="s">
        <v>6</v>
      </c>
      <c r="X9" s="35" t="s">
        <v>6</v>
      </c>
      <c r="Y9" s="35" t="s">
        <v>6</v>
      </c>
      <c r="Z9" s="35" t="s">
        <v>6</v>
      </c>
      <c r="AA9" s="34" t="s">
        <v>6</v>
      </c>
      <c r="AB9" s="34" t="s">
        <v>6</v>
      </c>
    </row>
    <row r="10" spans="1:28" x14ac:dyDescent="0.25">
      <c r="A10" s="35" t="s">
        <v>6</v>
      </c>
      <c r="B10" s="34" t="s">
        <v>6</v>
      </c>
      <c r="C10" s="34" t="s">
        <v>6</v>
      </c>
      <c r="D10" s="34" t="s">
        <v>6</v>
      </c>
      <c r="E10" s="34" t="s">
        <v>6</v>
      </c>
      <c r="F10" s="34" t="s">
        <v>6</v>
      </c>
      <c r="G10" s="34" t="s">
        <v>6</v>
      </c>
      <c r="H10" s="34" t="s">
        <v>6</v>
      </c>
      <c r="I10" s="38">
        <v>0</v>
      </c>
      <c r="J10" s="38">
        <v>0</v>
      </c>
      <c r="K10" s="38">
        <v>0</v>
      </c>
      <c r="L10" s="38">
        <v>0</v>
      </c>
      <c r="M10" s="38">
        <v>0</v>
      </c>
      <c r="N10" s="38">
        <v>0</v>
      </c>
      <c r="O10" s="38">
        <v>0</v>
      </c>
      <c r="P10" s="38">
        <v>0</v>
      </c>
      <c r="Q10" s="38">
        <v>0</v>
      </c>
      <c r="R10" s="38">
        <v>0</v>
      </c>
      <c r="S10" s="38">
        <v>0</v>
      </c>
      <c r="T10" s="38">
        <v>0</v>
      </c>
      <c r="U10" s="38">
        <v>0</v>
      </c>
      <c r="V10" s="38">
        <v>0</v>
      </c>
      <c r="W10" s="35" t="s">
        <v>6</v>
      </c>
      <c r="X10" s="35" t="s">
        <v>6</v>
      </c>
      <c r="Y10" s="35" t="s">
        <v>6</v>
      </c>
      <c r="Z10" s="35" t="s">
        <v>6</v>
      </c>
      <c r="AA10" s="34" t="s">
        <v>6</v>
      </c>
      <c r="AB10" s="34" t="s">
        <v>6</v>
      </c>
    </row>
    <row r="11" spans="1:28" x14ac:dyDescent="0.25">
      <c r="A11" s="35" t="s">
        <v>6</v>
      </c>
      <c r="B11" s="34" t="s">
        <v>6</v>
      </c>
      <c r="C11" s="34" t="s">
        <v>6</v>
      </c>
      <c r="D11" s="34" t="s">
        <v>6</v>
      </c>
      <c r="E11" s="34" t="s">
        <v>6</v>
      </c>
      <c r="F11" s="34" t="s">
        <v>6</v>
      </c>
      <c r="G11" s="34" t="s">
        <v>6</v>
      </c>
      <c r="H11" s="34" t="s">
        <v>6</v>
      </c>
      <c r="I11" s="38">
        <v>0</v>
      </c>
      <c r="J11" s="38">
        <v>0</v>
      </c>
      <c r="K11" s="38">
        <v>0</v>
      </c>
      <c r="L11" s="38">
        <v>0</v>
      </c>
      <c r="M11" s="38">
        <v>0</v>
      </c>
      <c r="N11" s="38">
        <v>0</v>
      </c>
      <c r="O11" s="38">
        <v>0</v>
      </c>
      <c r="P11" s="38">
        <v>0</v>
      </c>
      <c r="Q11" s="38">
        <v>0</v>
      </c>
      <c r="R11" s="38">
        <v>0</v>
      </c>
      <c r="S11" s="38">
        <v>0</v>
      </c>
      <c r="T11" s="38">
        <v>0</v>
      </c>
      <c r="U11" s="38">
        <v>0</v>
      </c>
      <c r="V11" s="38">
        <v>0</v>
      </c>
      <c r="W11" s="35" t="s">
        <v>6</v>
      </c>
      <c r="X11" s="35" t="s">
        <v>6</v>
      </c>
      <c r="Y11" s="35" t="s">
        <v>6</v>
      </c>
      <c r="Z11" s="35" t="s">
        <v>6</v>
      </c>
      <c r="AA11" s="34" t="s">
        <v>6</v>
      </c>
      <c r="AB11" s="34" t="s">
        <v>6</v>
      </c>
    </row>
    <row r="12" spans="1:28" x14ac:dyDescent="0.25">
      <c r="A12" s="35" t="s">
        <v>6</v>
      </c>
      <c r="B12" s="34" t="s">
        <v>6</v>
      </c>
      <c r="C12" s="34" t="s">
        <v>6</v>
      </c>
      <c r="D12" s="34" t="s">
        <v>6</v>
      </c>
      <c r="E12" s="34" t="s">
        <v>6</v>
      </c>
      <c r="F12" s="34" t="s">
        <v>6</v>
      </c>
      <c r="G12" s="34" t="s">
        <v>6</v>
      </c>
      <c r="H12" s="34" t="s">
        <v>6</v>
      </c>
      <c r="I12" s="38">
        <v>0</v>
      </c>
      <c r="J12" s="38">
        <v>0</v>
      </c>
      <c r="K12" s="38">
        <v>0</v>
      </c>
      <c r="L12" s="38">
        <v>0</v>
      </c>
      <c r="M12" s="38">
        <v>0</v>
      </c>
      <c r="N12" s="38">
        <v>0</v>
      </c>
      <c r="O12" s="38">
        <v>0</v>
      </c>
      <c r="P12" s="38">
        <v>0</v>
      </c>
      <c r="Q12" s="38">
        <v>0</v>
      </c>
      <c r="R12" s="38">
        <v>0</v>
      </c>
      <c r="S12" s="38">
        <v>0</v>
      </c>
      <c r="T12" s="38">
        <v>0</v>
      </c>
      <c r="U12" s="38">
        <v>0</v>
      </c>
      <c r="V12" s="38">
        <v>0</v>
      </c>
      <c r="W12" s="35" t="s">
        <v>6</v>
      </c>
      <c r="X12" s="35" t="s">
        <v>6</v>
      </c>
      <c r="Y12" s="35" t="s">
        <v>6</v>
      </c>
      <c r="Z12" s="35" t="s">
        <v>6</v>
      </c>
      <c r="AA12" s="34" t="s">
        <v>6</v>
      </c>
      <c r="AB12" s="34" t="s">
        <v>6</v>
      </c>
    </row>
    <row r="13" spans="1:28" x14ac:dyDescent="0.25">
      <c r="A13" s="35" t="s">
        <v>6</v>
      </c>
      <c r="B13" s="34" t="s">
        <v>6</v>
      </c>
      <c r="C13" s="34" t="s">
        <v>6</v>
      </c>
      <c r="D13" s="34" t="s">
        <v>6</v>
      </c>
      <c r="E13" s="34" t="s">
        <v>6</v>
      </c>
      <c r="F13" s="34" t="s">
        <v>6</v>
      </c>
      <c r="G13" s="34" t="s">
        <v>6</v>
      </c>
      <c r="H13" s="34" t="s">
        <v>6</v>
      </c>
      <c r="I13" s="38">
        <v>0</v>
      </c>
      <c r="J13" s="38">
        <v>0</v>
      </c>
      <c r="K13" s="38">
        <v>0</v>
      </c>
      <c r="L13" s="38">
        <v>0</v>
      </c>
      <c r="M13" s="38">
        <v>0</v>
      </c>
      <c r="N13" s="38">
        <v>0</v>
      </c>
      <c r="O13" s="38">
        <v>0</v>
      </c>
      <c r="P13" s="38">
        <v>0</v>
      </c>
      <c r="Q13" s="38">
        <v>0</v>
      </c>
      <c r="R13" s="38">
        <v>0</v>
      </c>
      <c r="S13" s="38">
        <v>0</v>
      </c>
      <c r="T13" s="38">
        <v>0</v>
      </c>
      <c r="U13" s="38">
        <v>0</v>
      </c>
      <c r="V13" s="38">
        <v>0</v>
      </c>
      <c r="W13" s="35" t="s">
        <v>6</v>
      </c>
      <c r="X13" s="35" t="s">
        <v>6</v>
      </c>
      <c r="Y13" s="35" t="s">
        <v>6</v>
      </c>
      <c r="Z13" s="35" t="s">
        <v>6</v>
      </c>
      <c r="AA13" s="34" t="s">
        <v>6</v>
      </c>
      <c r="AB13" s="34" t="s">
        <v>6</v>
      </c>
    </row>
    <row r="14" spans="1:28" x14ac:dyDescent="0.25">
      <c r="A14" s="35" t="s">
        <v>6</v>
      </c>
      <c r="B14" s="34" t="s">
        <v>6</v>
      </c>
      <c r="C14" s="34" t="s">
        <v>6</v>
      </c>
      <c r="D14" s="34" t="s">
        <v>6</v>
      </c>
      <c r="E14" s="34" t="s">
        <v>6</v>
      </c>
      <c r="F14" s="34" t="s">
        <v>6</v>
      </c>
      <c r="G14" s="34" t="s">
        <v>6</v>
      </c>
      <c r="H14" s="34" t="s">
        <v>6</v>
      </c>
      <c r="I14" s="38">
        <v>0</v>
      </c>
      <c r="J14" s="38">
        <v>0</v>
      </c>
      <c r="K14" s="38">
        <v>0</v>
      </c>
      <c r="L14" s="38">
        <v>0</v>
      </c>
      <c r="M14" s="38">
        <v>0</v>
      </c>
      <c r="N14" s="38">
        <v>0</v>
      </c>
      <c r="O14" s="38">
        <v>0</v>
      </c>
      <c r="P14" s="38">
        <v>0</v>
      </c>
      <c r="Q14" s="38">
        <v>0</v>
      </c>
      <c r="R14" s="38">
        <v>0</v>
      </c>
      <c r="S14" s="38">
        <v>0</v>
      </c>
      <c r="T14" s="38">
        <v>0</v>
      </c>
      <c r="U14" s="38">
        <v>0</v>
      </c>
      <c r="V14" s="38">
        <v>0</v>
      </c>
      <c r="W14" s="35" t="s">
        <v>6</v>
      </c>
      <c r="X14" s="35" t="s">
        <v>6</v>
      </c>
      <c r="Y14" s="35" t="s">
        <v>6</v>
      </c>
      <c r="Z14" s="35" t="s">
        <v>6</v>
      </c>
      <c r="AA14" s="34" t="s">
        <v>6</v>
      </c>
      <c r="AB14" s="34" t="s">
        <v>6</v>
      </c>
    </row>
    <row r="15" spans="1:28" x14ac:dyDescent="0.25">
      <c r="A15" s="35" t="s">
        <v>6</v>
      </c>
      <c r="B15" s="34" t="s">
        <v>6</v>
      </c>
      <c r="C15" s="34" t="s">
        <v>6</v>
      </c>
      <c r="D15" s="34" t="s">
        <v>6</v>
      </c>
      <c r="E15" s="34" t="s">
        <v>6</v>
      </c>
      <c r="F15" s="34" t="s">
        <v>6</v>
      </c>
      <c r="G15" s="34" t="s">
        <v>6</v>
      </c>
      <c r="H15" s="34" t="s">
        <v>6</v>
      </c>
      <c r="I15" s="38">
        <v>0</v>
      </c>
      <c r="J15" s="38">
        <v>0</v>
      </c>
      <c r="K15" s="38">
        <v>0</v>
      </c>
      <c r="L15" s="38">
        <v>0</v>
      </c>
      <c r="M15" s="38">
        <v>0</v>
      </c>
      <c r="N15" s="38">
        <v>0</v>
      </c>
      <c r="O15" s="38">
        <v>0</v>
      </c>
      <c r="P15" s="38">
        <v>0</v>
      </c>
      <c r="Q15" s="38">
        <v>0</v>
      </c>
      <c r="R15" s="38">
        <v>0</v>
      </c>
      <c r="S15" s="38">
        <v>0</v>
      </c>
      <c r="T15" s="38">
        <v>0</v>
      </c>
      <c r="U15" s="38">
        <v>0</v>
      </c>
      <c r="V15" s="38">
        <v>0</v>
      </c>
      <c r="W15" s="35" t="s">
        <v>6</v>
      </c>
      <c r="X15" s="35" t="s">
        <v>6</v>
      </c>
      <c r="Y15" s="35" t="s">
        <v>6</v>
      </c>
      <c r="Z15" s="35" t="s">
        <v>6</v>
      </c>
      <c r="AA15" s="34" t="s">
        <v>6</v>
      </c>
      <c r="AB15" s="34" t="s">
        <v>6</v>
      </c>
    </row>
    <row r="16" spans="1:28" x14ac:dyDescent="0.25">
      <c r="A16" s="35" t="s">
        <v>6</v>
      </c>
      <c r="B16" s="34" t="s">
        <v>6</v>
      </c>
      <c r="C16" s="34" t="s">
        <v>6</v>
      </c>
      <c r="D16" s="34" t="s">
        <v>6</v>
      </c>
      <c r="E16" s="34" t="s">
        <v>6</v>
      </c>
      <c r="F16" s="34" t="s">
        <v>6</v>
      </c>
      <c r="G16" s="34" t="s">
        <v>6</v>
      </c>
      <c r="H16" s="34" t="s">
        <v>6</v>
      </c>
      <c r="I16" s="38">
        <v>0</v>
      </c>
      <c r="J16" s="38">
        <v>0</v>
      </c>
      <c r="K16" s="38">
        <v>0</v>
      </c>
      <c r="L16" s="38">
        <v>0</v>
      </c>
      <c r="M16" s="38">
        <v>0</v>
      </c>
      <c r="N16" s="38">
        <v>0</v>
      </c>
      <c r="O16" s="38">
        <v>0</v>
      </c>
      <c r="P16" s="38">
        <v>0</v>
      </c>
      <c r="Q16" s="38">
        <v>0</v>
      </c>
      <c r="R16" s="38">
        <v>0</v>
      </c>
      <c r="S16" s="38">
        <v>0</v>
      </c>
      <c r="T16" s="38">
        <v>0</v>
      </c>
      <c r="U16" s="38">
        <v>0</v>
      </c>
      <c r="V16" s="38">
        <v>0</v>
      </c>
      <c r="W16" s="35" t="s">
        <v>6</v>
      </c>
      <c r="X16" s="35" t="s">
        <v>6</v>
      </c>
      <c r="Y16" s="35" t="s">
        <v>6</v>
      </c>
      <c r="Z16" s="35" t="s">
        <v>6</v>
      </c>
      <c r="AA16" s="34" t="s">
        <v>6</v>
      </c>
      <c r="AB16" s="34" t="s">
        <v>6</v>
      </c>
    </row>
    <row r="17" spans="1:28" x14ac:dyDescent="0.25">
      <c r="A17" s="35" t="s">
        <v>6</v>
      </c>
      <c r="B17" s="34" t="s">
        <v>6</v>
      </c>
      <c r="C17" s="34" t="s">
        <v>6</v>
      </c>
      <c r="D17" s="34" t="s">
        <v>6</v>
      </c>
      <c r="E17" s="34" t="s">
        <v>6</v>
      </c>
      <c r="F17" s="34" t="s">
        <v>6</v>
      </c>
      <c r="G17" s="34" t="s">
        <v>6</v>
      </c>
      <c r="H17" s="34" t="s">
        <v>6</v>
      </c>
      <c r="I17" s="38">
        <v>0</v>
      </c>
      <c r="J17" s="38">
        <v>0</v>
      </c>
      <c r="K17" s="38">
        <v>0</v>
      </c>
      <c r="L17" s="38">
        <v>0</v>
      </c>
      <c r="M17" s="38">
        <v>0</v>
      </c>
      <c r="N17" s="38">
        <v>0</v>
      </c>
      <c r="O17" s="38">
        <v>0</v>
      </c>
      <c r="P17" s="38">
        <v>0</v>
      </c>
      <c r="Q17" s="38">
        <v>0</v>
      </c>
      <c r="R17" s="38">
        <v>0</v>
      </c>
      <c r="S17" s="38">
        <v>0</v>
      </c>
      <c r="T17" s="38">
        <v>0</v>
      </c>
      <c r="U17" s="38">
        <v>0</v>
      </c>
      <c r="V17" s="38">
        <v>0</v>
      </c>
      <c r="W17" s="35" t="s">
        <v>6</v>
      </c>
      <c r="X17" s="35" t="s">
        <v>6</v>
      </c>
      <c r="Y17" s="35" t="s">
        <v>6</v>
      </c>
      <c r="Z17" s="35" t="s">
        <v>6</v>
      </c>
      <c r="AA17" s="34" t="s">
        <v>6</v>
      </c>
      <c r="AB17" s="34" t="s">
        <v>6</v>
      </c>
    </row>
    <row r="18" spans="1:28" x14ac:dyDescent="0.25">
      <c r="A18" s="35" t="s">
        <v>6</v>
      </c>
      <c r="B18" s="34" t="s">
        <v>6</v>
      </c>
      <c r="C18" s="34" t="s">
        <v>6</v>
      </c>
      <c r="D18" s="34" t="s">
        <v>6</v>
      </c>
      <c r="E18" s="34" t="s">
        <v>6</v>
      </c>
      <c r="F18" s="34" t="s">
        <v>6</v>
      </c>
      <c r="G18" s="34" t="s">
        <v>6</v>
      </c>
      <c r="H18" s="34" t="s">
        <v>6</v>
      </c>
      <c r="I18" s="38">
        <v>0</v>
      </c>
      <c r="J18" s="38">
        <v>0</v>
      </c>
      <c r="K18" s="38">
        <v>0</v>
      </c>
      <c r="L18" s="38">
        <v>0</v>
      </c>
      <c r="M18" s="38">
        <v>0</v>
      </c>
      <c r="N18" s="38">
        <v>0</v>
      </c>
      <c r="O18" s="38">
        <v>0</v>
      </c>
      <c r="P18" s="38">
        <v>0</v>
      </c>
      <c r="Q18" s="38">
        <v>0</v>
      </c>
      <c r="R18" s="38">
        <v>0</v>
      </c>
      <c r="S18" s="38">
        <v>0</v>
      </c>
      <c r="T18" s="38">
        <v>0</v>
      </c>
      <c r="U18" s="38">
        <v>0</v>
      </c>
      <c r="V18" s="38">
        <v>0</v>
      </c>
      <c r="W18" s="35" t="s">
        <v>6</v>
      </c>
      <c r="X18" s="35" t="s">
        <v>6</v>
      </c>
      <c r="Y18" s="35" t="s">
        <v>6</v>
      </c>
      <c r="Z18" s="35" t="s">
        <v>6</v>
      </c>
      <c r="AA18" s="34" t="s">
        <v>6</v>
      </c>
      <c r="AB18" s="34" t="s">
        <v>6</v>
      </c>
    </row>
    <row r="19" spans="1:28" x14ac:dyDescent="0.25">
      <c r="A19" s="35" t="s">
        <v>6</v>
      </c>
      <c r="B19" s="34" t="s">
        <v>6</v>
      </c>
      <c r="C19" s="34" t="s">
        <v>6</v>
      </c>
      <c r="D19" s="34" t="s">
        <v>6</v>
      </c>
      <c r="E19" s="34" t="s">
        <v>6</v>
      </c>
      <c r="F19" s="34" t="s">
        <v>6</v>
      </c>
      <c r="G19" s="34" t="s">
        <v>6</v>
      </c>
      <c r="H19" s="34" t="s">
        <v>6</v>
      </c>
      <c r="I19" s="38">
        <v>0</v>
      </c>
      <c r="J19" s="38">
        <v>0</v>
      </c>
      <c r="K19" s="38">
        <v>0</v>
      </c>
      <c r="L19" s="38">
        <v>0</v>
      </c>
      <c r="M19" s="38">
        <v>0</v>
      </c>
      <c r="N19" s="38">
        <v>0</v>
      </c>
      <c r="O19" s="38">
        <v>0</v>
      </c>
      <c r="P19" s="38">
        <v>0</v>
      </c>
      <c r="Q19" s="38">
        <v>0</v>
      </c>
      <c r="R19" s="38">
        <v>0</v>
      </c>
      <c r="S19" s="38">
        <v>0</v>
      </c>
      <c r="T19" s="38">
        <v>0</v>
      </c>
      <c r="U19" s="38">
        <v>0</v>
      </c>
      <c r="V19" s="38">
        <v>0</v>
      </c>
      <c r="W19" s="35" t="s">
        <v>6</v>
      </c>
      <c r="X19" s="35" t="s">
        <v>6</v>
      </c>
      <c r="Y19" s="35" t="s">
        <v>6</v>
      </c>
      <c r="Z19" s="35" t="s">
        <v>6</v>
      </c>
      <c r="AA19" s="34" t="s">
        <v>6</v>
      </c>
      <c r="AB19" s="34" t="s">
        <v>6</v>
      </c>
    </row>
    <row r="20" spans="1:28" x14ac:dyDescent="0.25">
      <c r="A20" s="35" t="s">
        <v>6</v>
      </c>
      <c r="B20" s="34" t="s">
        <v>6</v>
      </c>
      <c r="C20" s="34" t="s">
        <v>6</v>
      </c>
      <c r="D20" s="34" t="s">
        <v>6</v>
      </c>
      <c r="E20" s="34" t="s">
        <v>6</v>
      </c>
      <c r="F20" s="34" t="s">
        <v>6</v>
      </c>
      <c r="G20" s="34" t="s">
        <v>6</v>
      </c>
      <c r="H20" s="34" t="s">
        <v>6</v>
      </c>
      <c r="I20" s="38">
        <v>0</v>
      </c>
      <c r="J20" s="38">
        <v>0</v>
      </c>
      <c r="K20" s="38">
        <v>0</v>
      </c>
      <c r="L20" s="38">
        <v>0</v>
      </c>
      <c r="M20" s="38">
        <v>0</v>
      </c>
      <c r="N20" s="38">
        <v>0</v>
      </c>
      <c r="O20" s="38">
        <v>0</v>
      </c>
      <c r="P20" s="38">
        <v>0</v>
      </c>
      <c r="Q20" s="38">
        <v>0</v>
      </c>
      <c r="R20" s="38">
        <v>0</v>
      </c>
      <c r="S20" s="38">
        <v>0</v>
      </c>
      <c r="T20" s="38">
        <v>0</v>
      </c>
      <c r="U20" s="38">
        <v>0</v>
      </c>
      <c r="V20" s="38">
        <v>0</v>
      </c>
      <c r="W20" s="35" t="s">
        <v>6</v>
      </c>
      <c r="X20" s="35" t="s">
        <v>6</v>
      </c>
      <c r="Y20" s="35" t="s">
        <v>6</v>
      </c>
      <c r="Z20" s="35" t="s">
        <v>6</v>
      </c>
      <c r="AA20" s="34" t="s">
        <v>6</v>
      </c>
      <c r="AB20" s="34" t="s">
        <v>6</v>
      </c>
    </row>
    <row r="21" spans="1:28" x14ac:dyDescent="0.25">
      <c r="A21" s="35" t="s">
        <v>6</v>
      </c>
      <c r="B21" s="34" t="s">
        <v>6</v>
      </c>
      <c r="C21" s="34" t="s">
        <v>6</v>
      </c>
      <c r="D21" s="34" t="s">
        <v>6</v>
      </c>
      <c r="E21" s="34" t="s">
        <v>6</v>
      </c>
      <c r="F21" s="34" t="s">
        <v>6</v>
      </c>
      <c r="G21" s="34" t="s">
        <v>6</v>
      </c>
      <c r="H21" s="34" t="s">
        <v>6</v>
      </c>
      <c r="I21" s="38">
        <v>0</v>
      </c>
      <c r="J21" s="38">
        <v>0</v>
      </c>
      <c r="K21" s="38">
        <v>0</v>
      </c>
      <c r="L21" s="38">
        <v>0</v>
      </c>
      <c r="M21" s="38">
        <v>0</v>
      </c>
      <c r="N21" s="38">
        <v>0</v>
      </c>
      <c r="O21" s="38">
        <v>0</v>
      </c>
      <c r="P21" s="38">
        <v>0</v>
      </c>
      <c r="Q21" s="38">
        <v>0</v>
      </c>
      <c r="R21" s="38">
        <v>0</v>
      </c>
      <c r="S21" s="38">
        <v>0</v>
      </c>
      <c r="T21" s="38">
        <v>0</v>
      </c>
      <c r="U21" s="38">
        <v>0</v>
      </c>
      <c r="V21" s="38">
        <v>0</v>
      </c>
      <c r="W21" s="35" t="s">
        <v>6</v>
      </c>
      <c r="X21" s="35" t="s">
        <v>6</v>
      </c>
      <c r="Y21" s="35" t="s">
        <v>6</v>
      </c>
      <c r="Z21" s="35" t="s">
        <v>6</v>
      </c>
      <c r="AA21" s="34" t="s">
        <v>6</v>
      </c>
      <c r="AB21" s="34" t="s">
        <v>6</v>
      </c>
    </row>
    <row r="22" spans="1:28" x14ac:dyDescent="0.25">
      <c r="A22" s="35" t="s">
        <v>6</v>
      </c>
      <c r="B22" s="34" t="s">
        <v>6</v>
      </c>
      <c r="C22" s="34" t="s">
        <v>6</v>
      </c>
      <c r="D22" s="34" t="s">
        <v>6</v>
      </c>
      <c r="E22" s="34" t="s">
        <v>6</v>
      </c>
      <c r="F22" s="34" t="s">
        <v>6</v>
      </c>
      <c r="G22" s="34" t="s">
        <v>6</v>
      </c>
      <c r="H22" s="34" t="s">
        <v>6</v>
      </c>
      <c r="I22" s="38">
        <v>0</v>
      </c>
      <c r="J22" s="38">
        <v>0</v>
      </c>
      <c r="K22" s="38">
        <v>0</v>
      </c>
      <c r="L22" s="38">
        <v>0</v>
      </c>
      <c r="M22" s="38">
        <v>0</v>
      </c>
      <c r="N22" s="38">
        <v>0</v>
      </c>
      <c r="O22" s="38">
        <v>0</v>
      </c>
      <c r="P22" s="38">
        <v>0</v>
      </c>
      <c r="Q22" s="38">
        <v>0</v>
      </c>
      <c r="R22" s="38">
        <v>0</v>
      </c>
      <c r="S22" s="38">
        <v>0</v>
      </c>
      <c r="T22" s="38">
        <v>0</v>
      </c>
      <c r="U22" s="38">
        <v>0</v>
      </c>
      <c r="V22" s="38">
        <v>0</v>
      </c>
      <c r="W22" s="35" t="s">
        <v>6</v>
      </c>
      <c r="X22" s="35" t="s">
        <v>6</v>
      </c>
      <c r="Y22" s="35" t="s">
        <v>6</v>
      </c>
      <c r="Z22" s="35" t="s">
        <v>6</v>
      </c>
      <c r="AA22" s="34" t="s">
        <v>6</v>
      </c>
      <c r="AB22" s="34" t="s">
        <v>6</v>
      </c>
    </row>
    <row r="23" spans="1:28" x14ac:dyDescent="0.25">
      <c r="A23" s="35" t="s">
        <v>6</v>
      </c>
      <c r="B23" s="34" t="s">
        <v>6</v>
      </c>
      <c r="C23" s="34" t="s">
        <v>6</v>
      </c>
      <c r="D23" s="34" t="s">
        <v>6</v>
      </c>
      <c r="E23" s="34" t="s">
        <v>6</v>
      </c>
      <c r="F23" s="34" t="s">
        <v>6</v>
      </c>
      <c r="G23" s="34" t="s">
        <v>6</v>
      </c>
      <c r="H23" s="34" t="s">
        <v>6</v>
      </c>
      <c r="I23" s="38">
        <v>0</v>
      </c>
      <c r="J23" s="38">
        <v>0</v>
      </c>
      <c r="K23" s="38">
        <v>0</v>
      </c>
      <c r="L23" s="38">
        <v>0</v>
      </c>
      <c r="M23" s="38">
        <v>0</v>
      </c>
      <c r="N23" s="38">
        <v>0</v>
      </c>
      <c r="O23" s="38">
        <v>0</v>
      </c>
      <c r="P23" s="38">
        <v>0</v>
      </c>
      <c r="Q23" s="38">
        <v>0</v>
      </c>
      <c r="R23" s="38">
        <v>0</v>
      </c>
      <c r="S23" s="38">
        <v>0</v>
      </c>
      <c r="T23" s="38">
        <v>0</v>
      </c>
      <c r="U23" s="38">
        <v>0</v>
      </c>
      <c r="V23" s="38">
        <v>0</v>
      </c>
      <c r="W23" s="35" t="s">
        <v>6</v>
      </c>
      <c r="X23" s="35" t="s">
        <v>6</v>
      </c>
      <c r="Y23" s="35" t="s">
        <v>6</v>
      </c>
      <c r="Z23" s="35" t="s">
        <v>6</v>
      </c>
      <c r="AA23" s="34" t="s">
        <v>6</v>
      </c>
      <c r="AB23" s="34" t="s">
        <v>6</v>
      </c>
    </row>
    <row r="24" spans="1:28" x14ac:dyDescent="0.25">
      <c r="A24" s="35" t="s">
        <v>6</v>
      </c>
      <c r="B24" s="34" t="s">
        <v>6</v>
      </c>
      <c r="C24" s="34" t="s">
        <v>6</v>
      </c>
      <c r="D24" s="34" t="s">
        <v>6</v>
      </c>
      <c r="E24" s="34" t="s">
        <v>6</v>
      </c>
      <c r="F24" s="34" t="s">
        <v>6</v>
      </c>
      <c r="G24" s="34" t="s">
        <v>6</v>
      </c>
      <c r="H24" s="34" t="s">
        <v>6</v>
      </c>
      <c r="I24" s="38">
        <v>0</v>
      </c>
      <c r="J24" s="38">
        <v>0</v>
      </c>
      <c r="K24" s="38">
        <v>0</v>
      </c>
      <c r="L24" s="38">
        <v>0</v>
      </c>
      <c r="M24" s="38">
        <v>0</v>
      </c>
      <c r="N24" s="38">
        <v>0</v>
      </c>
      <c r="O24" s="38">
        <v>0</v>
      </c>
      <c r="P24" s="38">
        <v>0</v>
      </c>
      <c r="Q24" s="38">
        <v>0</v>
      </c>
      <c r="R24" s="38">
        <v>0</v>
      </c>
      <c r="S24" s="38">
        <v>0</v>
      </c>
      <c r="T24" s="38">
        <v>0</v>
      </c>
      <c r="U24" s="38">
        <v>0</v>
      </c>
      <c r="V24" s="38">
        <v>0</v>
      </c>
      <c r="W24" s="35" t="s">
        <v>6</v>
      </c>
      <c r="X24" s="35" t="s">
        <v>6</v>
      </c>
      <c r="Y24" s="35" t="s">
        <v>6</v>
      </c>
      <c r="Z24" s="35" t="s">
        <v>6</v>
      </c>
      <c r="AA24" s="34" t="s">
        <v>6</v>
      </c>
      <c r="AB24" s="34" t="s">
        <v>6</v>
      </c>
    </row>
    <row r="25" spans="1:28" x14ac:dyDescent="0.25">
      <c r="A25" s="35" t="s">
        <v>6</v>
      </c>
      <c r="B25" s="34" t="s">
        <v>6</v>
      </c>
      <c r="C25" s="34" t="s">
        <v>6</v>
      </c>
      <c r="D25" s="34" t="s">
        <v>6</v>
      </c>
      <c r="E25" s="34" t="s">
        <v>6</v>
      </c>
      <c r="F25" s="34" t="s">
        <v>6</v>
      </c>
      <c r="G25" s="34" t="s">
        <v>6</v>
      </c>
      <c r="H25" s="34" t="s">
        <v>6</v>
      </c>
      <c r="I25" s="38">
        <v>0</v>
      </c>
      <c r="J25" s="38">
        <v>0</v>
      </c>
      <c r="K25" s="38">
        <v>0</v>
      </c>
      <c r="L25" s="38">
        <v>0</v>
      </c>
      <c r="M25" s="38">
        <v>0</v>
      </c>
      <c r="N25" s="38">
        <v>0</v>
      </c>
      <c r="O25" s="38">
        <v>0</v>
      </c>
      <c r="P25" s="38">
        <v>0</v>
      </c>
      <c r="Q25" s="38">
        <v>0</v>
      </c>
      <c r="R25" s="38">
        <v>0</v>
      </c>
      <c r="S25" s="38">
        <v>0</v>
      </c>
      <c r="T25" s="38">
        <v>0</v>
      </c>
      <c r="U25" s="38">
        <v>0</v>
      </c>
      <c r="V25" s="38">
        <v>0</v>
      </c>
      <c r="W25" s="35" t="s">
        <v>6</v>
      </c>
      <c r="X25" s="35" t="s">
        <v>6</v>
      </c>
      <c r="Y25" s="35" t="s">
        <v>6</v>
      </c>
      <c r="Z25" s="35" t="s">
        <v>6</v>
      </c>
      <c r="AA25" s="34" t="s">
        <v>6</v>
      </c>
      <c r="AB25" s="34" t="s">
        <v>6</v>
      </c>
    </row>
    <row r="26" spans="1:28" x14ac:dyDescent="0.25">
      <c r="A26" s="35" t="s">
        <v>6</v>
      </c>
      <c r="B26" s="34" t="s">
        <v>6</v>
      </c>
      <c r="C26" s="34" t="s">
        <v>6</v>
      </c>
      <c r="D26" s="34" t="s">
        <v>6</v>
      </c>
      <c r="E26" s="34" t="s">
        <v>6</v>
      </c>
      <c r="F26" s="34" t="s">
        <v>6</v>
      </c>
      <c r="G26" s="34" t="s">
        <v>6</v>
      </c>
      <c r="H26" s="34" t="s">
        <v>6</v>
      </c>
      <c r="I26" s="38">
        <v>0</v>
      </c>
      <c r="J26" s="38">
        <v>0</v>
      </c>
      <c r="K26" s="38">
        <v>0</v>
      </c>
      <c r="L26" s="38">
        <v>0</v>
      </c>
      <c r="M26" s="38">
        <v>0</v>
      </c>
      <c r="N26" s="38">
        <v>0</v>
      </c>
      <c r="O26" s="38">
        <v>0</v>
      </c>
      <c r="P26" s="38">
        <v>0</v>
      </c>
      <c r="Q26" s="38">
        <v>0</v>
      </c>
      <c r="R26" s="38">
        <v>0</v>
      </c>
      <c r="S26" s="38">
        <v>0</v>
      </c>
      <c r="T26" s="38">
        <v>0</v>
      </c>
      <c r="U26" s="38">
        <v>0</v>
      </c>
      <c r="V26" s="38">
        <v>0</v>
      </c>
      <c r="W26" s="35" t="s">
        <v>6</v>
      </c>
      <c r="X26" s="35" t="s">
        <v>6</v>
      </c>
      <c r="Y26" s="35" t="s">
        <v>6</v>
      </c>
      <c r="Z26" s="35" t="s">
        <v>6</v>
      </c>
      <c r="AA26" s="34" t="s">
        <v>6</v>
      </c>
      <c r="AB26" s="34" t="s">
        <v>6</v>
      </c>
    </row>
    <row r="27" spans="1:28" x14ac:dyDescent="0.25">
      <c r="A27" s="35" t="s">
        <v>6</v>
      </c>
      <c r="B27" s="34" t="s">
        <v>6</v>
      </c>
      <c r="C27" s="34" t="s">
        <v>6</v>
      </c>
      <c r="D27" s="34" t="s">
        <v>6</v>
      </c>
      <c r="E27" s="34" t="s">
        <v>6</v>
      </c>
      <c r="F27" s="34" t="s">
        <v>6</v>
      </c>
      <c r="G27" s="34" t="s">
        <v>6</v>
      </c>
      <c r="H27" s="34" t="s">
        <v>6</v>
      </c>
      <c r="I27" s="38">
        <v>0</v>
      </c>
      <c r="J27" s="38">
        <v>0</v>
      </c>
      <c r="K27" s="38">
        <v>0</v>
      </c>
      <c r="L27" s="38">
        <v>0</v>
      </c>
      <c r="M27" s="38">
        <v>0</v>
      </c>
      <c r="N27" s="38">
        <v>0</v>
      </c>
      <c r="O27" s="38">
        <v>0</v>
      </c>
      <c r="P27" s="38">
        <v>0</v>
      </c>
      <c r="Q27" s="38">
        <v>0</v>
      </c>
      <c r="R27" s="38">
        <v>0</v>
      </c>
      <c r="S27" s="38">
        <v>0</v>
      </c>
      <c r="T27" s="38">
        <v>0</v>
      </c>
      <c r="U27" s="38">
        <v>0</v>
      </c>
      <c r="V27" s="38">
        <v>0</v>
      </c>
      <c r="W27" s="35" t="s">
        <v>6</v>
      </c>
      <c r="X27" s="35" t="s">
        <v>6</v>
      </c>
      <c r="Y27" s="35" t="s">
        <v>6</v>
      </c>
      <c r="Z27" s="35" t="s">
        <v>6</v>
      </c>
      <c r="AA27" s="34" t="s">
        <v>6</v>
      </c>
      <c r="AB27" s="34" t="s">
        <v>6</v>
      </c>
    </row>
    <row r="28" spans="1:28" x14ac:dyDescent="0.25">
      <c r="A28" s="35" t="s">
        <v>6</v>
      </c>
      <c r="B28" s="34" t="s">
        <v>6</v>
      </c>
      <c r="C28" s="34" t="s">
        <v>6</v>
      </c>
      <c r="D28" s="34" t="s">
        <v>6</v>
      </c>
      <c r="E28" s="34" t="s">
        <v>6</v>
      </c>
      <c r="F28" s="34" t="s">
        <v>6</v>
      </c>
      <c r="G28" s="34" t="s">
        <v>6</v>
      </c>
      <c r="H28" s="34" t="s">
        <v>6</v>
      </c>
      <c r="I28" s="38">
        <v>0</v>
      </c>
      <c r="J28" s="38">
        <v>0</v>
      </c>
      <c r="K28" s="38">
        <v>0</v>
      </c>
      <c r="L28" s="38">
        <v>0</v>
      </c>
      <c r="M28" s="38">
        <v>0</v>
      </c>
      <c r="N28" s="38">
        <v>0</v>
      </c>
      <c r="O28" s="38">
        <v>0</v>
      </c>
      <c r="P28" s="38">
        <v>0</v>
      </c>
      <c r="Q28" s="38">
        <v>0</v>
      </c>
      <c r="R28" s="38">
        <v>0</v>
      </c>
      <c r="S28" s="38">
        <v>0</v>
      </c>
      <c r="T28" s="38">
        <v>0</v>
      </c>
      <c r="U28" s="38">
        <v>0</v>
      </c>
      <c r="V28" s="38">
        <v>0</v>
      </c>
      <c r="W28" s="35" t="s">
        <v>6</v>
      </c>
      <c r="X28" s="35" t="s">
        <v>6</v>
      </c>
      <c r="Y28" s="35" t="s">
        <v>6</v>
      </c>
      <c r="Z28" s="35" t="s">
        <v>6</v>
      </c>
      <c r="AA28" s="34" t="s">
        <v>6</v>
      </c>
      <c r="AB28" s="34" t="s">
        <v>6</v>
      </c>
    </row>
    <row r="29" spans="1:28" x14ac:dyDescent="0.25">
      <c r="A29" s="35" t="s">
        <v>6</v>
      </c>
      <c r="B29" s="34" t="s">
        <v>6</v>
      </c>
      <c r="C29" s="34" t="s">
        <v>6</v>
      </c>
      <c r="D29" s="34" t="s">
        <v>6</v>
      </c>
      <c r="E29" s="34" t="s">
        <v>6</v>
      </c>
      <c r="F29" s="34" t="s">
        <v>6</v>
      </c>
      <c r="G29" s="34" t="s">
        <v>6</v>
      </c>
      <c r="H29" s="34" t="s">
        <v>6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5" t="s">
        <v>6</v>
      </c>
      <c r="X29" s="35" t="s">
        <v>6</v>
      </c>
      <c r="Y29" s="35" t="s">
        <v>6</v>
      </c>
      <c r="Z29" s="35" t="s">
        <v>6</v>
      </c>
      <c r="AA29" s="34" t="s">
        <v>6</v>
      </c>
      <c r="AB29" s="34" t="s">
        <v>6</v>
      </c>
    </row>
    <row r="30" spans="1:28" x14ac:dyDescent="0.25">
      <c r="A30" s="35" t="s">
        <v>6</v>
      </c>
      <c r="B30" s="34" t="s">
        <v>6</v>
      </c>
      <c r="C30" s="34" t="s">
        <v>6</v>
      </c>
      <c r="D30" s="34" t="s">
        <v>6</v>
      </c>
      <c r="E30" s="34" t="s">
        <v>6</v>
      </c>
      <c r="F30" s="34" t="s">
        <v>6</v>
      </c>
      <c r="G30" s="34" t="s">
        <v>6</v>
      </c>
      <c r="H30" s="34" t="s">
        <v>6</v>
      </c>
      <c r="I30" s="38">
        <v>0</v>
      </c>
      <c r="J30" s="38">
        <v>0</v>
      </c>
      <c r="K30" s="38">
        <v>0</v>
      </c>
      <c r="L30" s="38">
        <v>0</v>
      </c>
      <c r="M30" s="38">
        <v>0</v>
      </c>
      <c r="N30" s="38">
        <v>0</v>
      </c>
      <c r="O30" s="38">
        <v>0</v>
      </c>
      <c r="P30" s="38">
        <v>0</v>
      </c>
      <c r="Q30" s="38">
        <v>0</v>
      </c>
      <c r="R30" s="38">
        <v>0</v>
      </c>
      <c r="S30" s="38">
        <v>0</v>
      </c>
      <c r="T30" s="38">
        <v>0</v>
      </c>
      <c r="U30" s="38">
        <v>0</v>
      </c>
      <c r="V30" s="38">
        <v>0</v>
      </c>
      <c r="W30" s="35" t="s">
        <v>6</v>
      </c>
      <c r="X30" s="35" t="s">
        <v>6</v>
      </c>
      <c r="Y30" s="35" t="s">
        <v>6</v>
      </c>
      <c r="Z30" s="35" t="s">
        <v>6</v>
      </c>
      <c r="AA30" s="34" t="s">
        <v>6</v>
      </c>
      <c r="AB30" s="34" t="s">
        <v>6</v>
      </c>
    </row>
    <row r="31" spans="1:28" x14ac:dyDescent="0.25">
      <c r="A31" s="35" t="s">
        <v>6</v>
      </c>
      <c r="B31" s="34" t="s">
        <v>6</v>
      </c>
      <c r="C31" s="34" t="s">
        <v>6</v>
      </c>
      <c r="D31" s="34" t="s">
        <v>6</v>
      </c>
      <c r="E31" s="34" t="s">
        <v>6</v>
      </c>
      <c r="F31" s="34" t="s">
        <v>6</v>
      </c>
      <c r="G31" s="34" t="s">
        <v>6</v>
      </c>
      <c r="H31" s="34" t="s">
        <v>6</v>
      </c>
      <c r="I31" s="38">
        <v>0</v>
      </c>
      <c r="J31" s="38">
        <v>0</v>
      </c>
      <c r="K31" s="38">
        <v>0</v>
      </c>
      <c r="L31" s="38">
        <v>0</v>
      </c>
      <c r="M31" s="38">
        <v>0</v>
      </c>
      <c r="N31" s="38">
        <v>0</v>
      </c>
      <c r="O31" s="38">
        <v>0</v>
      </c>
      <c r="P31" s="38">
        <v>0</v>
      </c>
      <c r="Q31" s="38">
        <v>0</v>
      </c>
      <c r="R31" s="38">
        <v>0</v>
      </c>
      <c r="S31" s="38">
        <v>0</v>
      </c>
      <c r="T31" s="38">
        <v>0</v>
      </c>
      <c r="U31" s="38">
        <v>0</v>
      </c>
      <c r="V31" s="38">
        <v>0</v>
      </c>
      <c r="W31" s="35" t="s">
        <v>6</v>
      </c>
      <c r="X31" s="35" t="s">
        <v>6</v>
      </c>
      <c r="Y31" s="35" t="s">
        <v>6</v>
      </c>
      <c r="Z31" s="35" t="s">
        <v>6</v>
      </c>
      <c r="AA31" s="34" t="s">
        <v>6</v>
      </c>
      <c r="AB31" s="34" t="s">
        <v>6</v>
      </c>
    </row>
    <row r="32" spans="1:28" x14ac:dyDescent="0.25">
      <c r="A32" s="35" t="s">
        <v>6</v>
      </c>
      <c r="B32" s="34" t="s">
        <v>6</v>
      </c>
      <c r="C32" s="34" t="s">
        <v>6</v>
      </c>
      <c r="D32" s="34" t="s">
        <v>6</v>
      </c>
      <c r="E32" s="34" t="s">
        <v>6</v>
      </c>
      <c r="F32" s="34" t="s">
        <v>6</v>
      </c>
      <c r="G32" s="34" t="s">
        <v>6</v>
      </c>
      <c r="H32" s="34" t="s">
        <v>6</v>
      </c>
      <c r="I32" s="38">
        <v>0</v>
      </c>
      <c r="J32" s="38">
        <v>0</v>
      </c>
      <c r="K32" s="38">
        <v>0</v>
      </c>
      <c r="L32" s="38">
        <v>0</v>
      </c>
      <c r="M32" s="38">
        <v>0</v>
      </c>
      <c r="N32" s="38">
        <v>0</v>
      </c>
      <c r="O32" s="38">
        <v>0</v>
      </c>
      <c r="P32" s="38">
        <v>0</v>
      </c>
      <c r="Q32" s="38">
        <v>0</v>
      </c>
      <c r="R32" s="38">
        <v>0</v>
      </c>
      <c r="S32" s="38">
        <v>0</v>
      </c>
      <c r="T32" s="38">
        <v>0</v>
      </c>
      <c r="U32" s="38">
        <v>0</v>
      </c>
      <c r="V32" s="38">
        <v>0</v>
      </c>
      <c r="W32" s="35" t="s">
        <v>6</v>
      </c>
      <c r="X32" s="35" t="s">
        <v>6</v>
      </c>
      <c r="Y32" s="35" t="s">
        <v>6</v>
      </c>
      <c r="Z32" s="35" t="s">
        <v>6</v>
      </c>
      <c r="AA32" s="34" t="s">
        <v>6</v>
      </c>
      <c r="AB32" s="34" t="s">
        <v>6</v>
      </c>
    </row>
    <row r="33" spans="1:28" x14ac:dyDescent="0.25">
      <c r="A33" s="35" t="s">
        <v>6</v>
      </c>
      <c r="B33" s="34" t="s">
        <v>6</v>
      </c>
      <c r="C33" s="34" t="s">
        <v>6</v>
      </c>
      <c r="D33" s="34" t="s">
        <v>6</v>
      </c>
      <c r="E33" s="34" t="s">
        <v>6</v>
      </c>
      <c r="F33" s="34" t="s">
        <v>6</v>
      </c>
      <c r="G33" s="34" t="s">
        <v>6</v>
      </c>
      <c r="H33" s="34" t="s">
        <v>6</v>
      </c>
      <c r="I33" s="38">
        <v>0</v>
      </c>
      <c r="J33" s="38">
        <v>0</v>
      </c>
      <c r="K33" s="38">
        <v>0</v>
      </c>
      <c r="L33" s="38">
        <v>0</v>
      </c>
      <c r="M33" s="38">
        <v>0</v>
      </c>
      <c r="N33" s="38">
        <v>0</v>
      </c>
      <c r="O33" s="38">
        <v>0</v>
      </c>
      <c r="P33" s="38">
        <v>0</v>
      </c>
      <c r="Q33" s="38">
        <v>0</v>
      </c>
      <c r="R33" s="38">
        <v>0</v>
      </c>
      <c r="S33" s="38">
        <v>0</v>
      </c>
      <c r="T33" s="38">
        <v>0</v>
      </c>
      <c r="U33" s="38">
        <v>0</v>
      </c>
      <c r="V33" s="38">
        <v>0</v>
      </c>
      <c r="W33" s="35" t="s">
        <v>6</v>
      </c>
      <c r="X33" s="35" t="s">
        <v>6</v>
      </c>
      <c r="Y33" s="35" t="s">
        <v>6</v>
      </c>
      <c r="Z33" s="35" t="s">
        <v>6</v>
      </c>
      <c r="AA33" s="34" t="s">
        <v>6</v>
      </c>
      <c r="AB33" s="34" t="s">
        <v>6</v>
      </c>
    </row>
    <row r="34" spans="1:28" x14ac:dyDescent="0.25">
      <c r="A34" s="35" t="s">
        <v>6</v>
      </c>
      <c r="B34" s="34" t="s">
        <v>6</v>
      </c>
      <c r="C34" s="34" t="s">
        <v>6</v>
      </c>
      <c r="D34" s="34" t="s">
        <v>6</v>
      </c>
      <c r="E34" s="34" t="s">
        <v>6</v>
      </c>
      <c r="F34" s="34" t="s">
        <v>6</v>
      </c>
      <c r="G34" s="34" t="s">
        <v>6</v>
      </c>
      <c r="H34" s="34" t="s">
        <v>6</v>
      </c>
      <c r="I34" s="38">
        <v>0</v>
      </c>
      <c r="J34" s="38">
        <v>0</v>
      </c>
      <c r="K34" s="38">
        <v>0</v>
      </c>
      <c r="L34" s="38">
        <v>0</v>
      </c>
      <c r="M34" s="38">
        <v>0</v>
      </c>
      <c r="N34" s="38">
        <v>0</v>
      </c>
      <c r="O34" s="38">
        <v>0</v>
      </c>
      <c r="P34" s="38">
        <v>0</v>
      </c>
      <c r="Q34" s="38">
        <v>0</v>
      </c>
      <c r="R34" s="38">
        <v>0</v>
      </c>
      <c r="S34" s="38">
        <v>0</v>
      </c>
      <c r="T34" s="38">
        <v>0</v>
      </c>
      <c r="U34" s="38">
        <v>0</v>
      </c>
      <c r="V34" s="38">
        <v>0</v>
      </c>
      <c r="W34" s="35" t="s">
        <v>6</v>
      </c>
      <c r="X34" s="35" t="s">
        <v>6</v>
      </c>
      <c r="Y34" s="35" t="s">
        <v>6</v>
      </c>
      <c r="Z34" s="35" t="s">
        <v>6</v>
      </c>
      <c r="AA34" s="34" t="s">
        <v>6</v>
      </c>
      <c r="AB34" s="34" t="s">
        <v>6</v>
      </c>
    </row>
    <row r="35" spans="1:28" x14ac:dyDescent="0.25">
      <c r="A35" s="35" t="s">
        <v>6</v>
      </c>
      <c r="B35" s="34" t="s">
        <v>6</v>
      </c>
      <c r="C35" s="34" t="s">
        <v>6</v>
      </c>
      <c r="D35" s="34" t="s">
        <v>6</v>
      </c>
      <c r="E35" s="34" t="s">
        <v>6</v>
      </c>
      <c r="F35" s="34" t="s">
        <v>6</v>
      </c>
      <c r="G35" s="34" t="s">
        <v>6</v>
      </c>
      <c r="H35" s="34" t="s">
        <v>6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5" t="s">
        <v>6</v>
      </c>
      <c r="X35" s="35" t="s">
        <v>6</v>
      </c>
      <c r="Y35" s="35" t="s">
        <v>6</v>
      </c>
      <c r="Z35" s="35" t="s">
        <v>6</v>
      </c>
      <c r="AA35" s="34" t="s">
        <v>6</v>
      </c>
      <c r="AB35" s="34" t="s">
        <v>6</v>
      </c>
    </row>
    <row r="36" spans="1:28" x14ac:dyDescent="0.25">
      <c r="A36" s="35" t="s">
        <v>6</v>
      </c>
      <c r="B36" s="34" t="s">
        <v>6</v>
      </c>
      <c r="C36" s="34" t="s">
        <v>6</v>
      </c>
      <c r="D36" s="34" t="s">
        <v>6</v>
      </c>
      <c r="E36" s="34" t="s">
        <v>6</v>
      </c>
      <c r="F36" s="34" t="s">
        <v>6</v>
      </c>
      <c r="G36" s="34" t="s">
        <v>6</v>
      </c>
      <c r="H36" s="34" t="s">
        <v>6</v>
      </c>
      <c r="I36" s="38">
        <v>0</v>
      </c>
      <c r="J36" s="38">
        <v>0</v>
      </c>
      <c r="K36" s="38">
        <v>0</v>
      </c>
      <c r="L36" s="38">
        <v>0</v>
      </c>
      <c r="M36" s="38">
        <v>0</v>
      </c>
      <c r="N36" s="38">
        <v>0</v>
      </c>
      <c r="O36" s="38">
        <v>0</v>
      </c>
      <c r="P36" s="38">
        <v>0</v>
      </c>
      <c r="Q36" s="38">
        <v>0</v>
      </c>
      <c r="R36" s="38">
        <v>0</v>
      </c>
      <c r="S36" s="38">
        <v>0</v>
      </c>
      <c r="T36" s="38">
        <v>0</v>
      </c>
      <c r="U36" s="38">
        <v>0</v>
      </c>
      <c r="V36" s="38">
        <v>0</v>
      </c>
      <c r="W36" s="35" t="s">
        <v>6</v>
      </c>
      <c r="X36" s="35" t="s">
        <v>6</v>
      </c>
      <c r="Y36" s="35" t="s">
        <v>6</v>
      </c>
      <c r="Z36" s="35" t="s">
        <v>6</v>
      </c>
      <c r="AA36" s="34" t="s">
        <v>6</v>
      </c>
      <c r="AB36" s="34" t="s">
        <v>6</v>
      </c>
    </row>
    <row r="37" spans="1:28" x14ac:dyDescent="0.25">
      <c r="A37" s="35" t="s">
        <v>6</v>
      </c>
      <c r="B37" s="34" t="s">
        <v>6</v>
      </c>
      <c r="C37" s="34" t="s">
        <v>6</v>
      </c>
      <c r="D37" s="34" t="s">
        <v>6</v>
      </c>
      <c r="E37" s="34" t="s">
        <v>6</v>
      </c>
      <c r="F37" s="34" t="s">
        <v>6</v>
      </c>
      <c r="G37" s="34" t="s">
        <v>6</v>
      </c>
      <c r="H37" s="34" t="s">
        <v>6</v>
      </c>
      <c r="I37" s="38">
        <v>0</v>
      </c>
      <c r="J37" s="38">
        <v>0</v>
      </c>
      <c r="K37" s="38">
        <v>0</v>
      </c>
      <c r="L37" s="38">
        <v>0</v>
      </c>
      <c r="M37" s="38">
        <v>0</v>
      </c>
      <c r="N37" s="38">
        <v>0</v>
      </c>
      <c r="O37" s="38">
        <v>0</v>
      </c>
      <c r="P37" s="38">
        <v>0</v>
      </c>
      <c r="Q37" s="38">
        <v>0</v>
      </c>
      <c r="R37" s="38">
        <v>0</v>
      </c>
      <c r="S37" s="38">
        <v>0</v>
      </c>
      <c r="T37" s="38">
        <v>0</v>
      </c>
      <c r="U37" s="38">
        <v>0</v>
      </c>
      <c r="V37" s="38">
        <v>0</v>
      </c>
      <c r="W37" s="35" t="s">
        <v>6</v>
      </c>
      <c r="X37" s="35" t="s">
        <v>6</v>
      </c>
      <c r="Y37" s="35" t="s">
        <v>6</v>
      </c>
      <c r="Z37" s="35" t="s">
        <v>6</v>
      </c>
      <c r="AA37" s="34" t="s">
        <v>6</v>
      </c>
      <c r="AB37" s="34" t="s">
        <v>6</v>
      </c>
    </row>
    <row r="38" spans="1:28" x14ac:dyDescent="0.25">
      <c r="A38" s="35" t="s">
        <v>6</v>
      </c>
      <c r="B38" s="34" t="s">
        <v>6</v>
      </c>
      <c r="C38" s="34" t="s">
        <v>6</v>
      </c>
      <c r="D38" s="34" t="s">
        <v>6</v>
      </c>
      <c r="E38" s="34" t="s">
        <v>6</v>
      </c>
      <c r="F38" s="34" t="s">
        <v>6</v>
      </c>
      <c r="G38" s="34" t="s">
        <v>6</v>
      </c>
      <c r="H38" s="34" t="s">
        <v>6</v>
      </c>
      <c r="I38" s="38">
        <v>0</v>
      </c>
      <c r="J38" s="38">
        <v>0</v>
      </c>
      <c r="K38" s="38">
        <v>0</v>
      </c>
      <c r="L38" s="38">
        <v>0</v>
      </c>
      <c r="M38" s="38">
        <v>0</v>
      </c>
      <c r="N38" s="38">
        <v>0</v>
      </c>
      <c r="O38" s="38">
        <v>0</v>
      </c>
      <c r="P38" s="38">
        <v>0</v>
      </c>
      <c r="Q38" s="38">
        <v>0</v>
      </c>
      <c r="R38" s="38">
        <v>0</v>
      </c>
      <c r="S38" s="38">
        <v>0</v>
      </c>
      <c r="T38" s="38">
        <v>0</v>
      </c>
      <c r="U38" s="38">
        <v>0</v>
      </c>
      <c r="V38" s="38">
        <v>0</v>
      </c>
      <c r="W38" s="35" t="s">
        <v>6</v>
      </c>
      <c r="X38" s="35" t="s">
        <v>6</v>
      </c>
      <c r="Y38" s="35" t="s">
        <v>6</v>
      </c>
      <c r="Z38" s="35" t="s">
        <v>6</v>
      </c>
      <c r="AA38" s="34" t="s">
        <v>6</v>
      </c>
      <c r="AB38" s="34" t="s">
        <v>6</v>
      </c>
    </row>
    <row r="39" spans="1:28" x14ac:dyDescent="0.25">
      <c r="A39" s="35" t="s">
        <v>6</v>
      </c>
      <c r="B39" s="34" t="s">
        <v>6</v>
      </c>
      <c r="C39" s="34" t="s">
        <v>6</v>
      </c>
      <c r="D39" s="34" t="s">
        <v>6</v>
      </c>
      <c r="E39" s="34" t="s">
        <v>6</v>
      </c>
      <c r="F39" s="34" t="s">
        <v>6</v>
      </c>
      <c r="G39" s="34" t="s">
        <v>6</v>
      </c>
      <c r="H39" s="34" t="s">
        <v>6</v>
      </c>
      <c r="I39" s="38">
        <v>0</v>
      </c>
      <c r="J39" s="38">
        <v>0</v>
      </c>
      <c r="K39" s="38">
        <v>0</v>
      </c>
      <c r="L39" s="38">
        <v>0</v>
      </c>
      <c r="M39" s="38">
        <v>0</v>
      </c>
      <c r="N39" s="38">
        <v>0</v>
      </c>
      <c r="O39" s="38">
        <v>0</v>
      </c>
      <c r="P39" s="38">
        <v>0</v>
      </c>
      <c r="Q39" s="38">
        <v>0</v>
      </c>
      <c r="R39" s="38">
        <v>0</v>
      </c>
      <c r="S39" s="38">
        <v>0</v>
      </c>
      <c r="T39" s="38">
        <v>0</v>
      </c>
      <c r="U39" s="38">
        <v>0</v>
      </c>
      <c r="V39" s="38">
        <v>0</v>
      </c>
      <c r="W39" s="35" t="s">
        <v>6</v>
      </c>
      <c r="X39" s="35" t="s">
        <v>6</v>
      </c>
      <c r="Y39" s="35" t="s">
        <v>6</v>
      </c>
      <c r="Z39" s="35" t="s">
        <v>6</v>
      </c>
      <c r="AA39" s="34" t="s">
        <v>6</v>
      </c>
      <c r="AB39" s="34" t="s">
        <v>6</v>
      </c>
    </row>
    <row r="40" spans="1:28" x14ac:dyDescent="0.25">
      <c r="A40" s="35" t="s">
        <v>6</v>
      </c>
      <c r="B40" s="34" t="s">
        <v>6</v>
      </c>
      <c r="C40" s="34" t="s">
        <v>6</v>
      </c>
      <c r="D40" s="34" t="s">
        <v>6</v>
      </c>
      <c r="E40" s="34" t="s">
        <v>6</v>
      </c>
      <c r="F40" s="34" t="s">
        <v>6</v>
      </c>
      <c r="G40" s="34" t="s">
        <v>6</v>
      </c>
      <c r="H40" s="34" t="s">
        <v>6</v>
      </c>
      <c r="I40" s="38">
        <v>0</v>
      </c>
      <c r="J40" s="38">
        <v>0</v>
      </c>
      <c r="K40" s="38">
        <v>0</v>
      </c>
      <c r="L40" s="38">
        <v>0</v>
      </c>
      <c r="M40" s="38">
        <v>0</v>
      </c>
      <c r="N40" s="38">
        <v>0</v>
      </c>
      <c r="O40" s="38">
        <v>0</v>
      </c>
      <c r="P40" s="38">
        <v>0</v>
      </c>
      <c r="Q40" s="38">
        <v>0</v>
      </c>
      <c r="R40" s="38">
        <v>0</v>
      </c>
      <c r="S40" s="38">
        <v>0</v>
      </c>
      <c r="T40" s="38">
        <v>0</v>
      </c>
      <c r="U40" s="38">
        <v>0</v>
      </c>
      <c r="V40" s="38">
        <v>0</v>
      </c>
      <c r="W40" s="35" t="s">
        <v>6</v>
      </c>
      <c r="X40" s="35" t="s">
        <v>6</v>
      </c>
      <c r="Y40" s="35" t="s">
        <v>6</v>
      </c>
      <c r="Z40" s="35" t="s">
        <v>6</v>
      </c>
      <c r="AA40" s="34" t="s">
        <v>6</v>
      </c>
      <c r="AB40" s="34" t="s">
        <v>6</v>
      </c>
    </row>
    <row r="41" spans="1:28" x14ac:dyDescent="0.25">
      <c r="A41" s="35" t="s">
        <v>6</v>
      </c>
      <c r="B41" s="34" t="s">
        <v>6</v>
      </c>
      <c r="C41" s="34" t="s">
        <v>6</v>
      </c>
      <c r="D41" s="34" t="s">
        <v>6</v>
      </c>
      <c r="E41" s="34" t="s">
        <v>6</v>
      </c>
      <c r="F41" s="34" t="s">
        <v>6</v>
      </c>
      <c r="G41" s="34" t="s">
        <v>6</v>
      </c>
      <c r="H41" s="34" t="s">
        <v>6</v>
      </c>
      <c r="I41" s="38">
        <v>0</v>
      </c>
      <c r="J41" s="38">
        <v>0</v>
      </c>
      <c r="K41" s="38">
        <v>0</v>
      </c>
      <c r="L41" s="38">
        <v>0</v>
      </c>
      <c r="M41" s="38">
        <v>0</v>
      </c>
      <c r="N41" s="38">
        <v>0</v>
      </c>
      <c r="O41" s="38">
        <v>0</v>
      </c>
      <c r="P41" s="38">
        <v>0</v>
      </c>
      <c r="Q41" s="38">
        <v>0</v>
      </c>
      <c r="R41" s="38">
        <v>0</v>
      </c>
      <c r="S41" s="38">
        <v>0</v>
      </c>
      <c r="T41" s="38">
        <v>0</v>
      </c>
      <c r="U41" s="38">
        <v>0</v>
      </c>
      <c r="V41" s="38">
        <v>0</v>
      </c>
      <c r="W41" s="35" t="s">
        <v>6</v>
      </c>
      <c r="X41" s="35" t="s">
        <v>6</v>
      </c>
      <c r="Y41" s="35" t="s">
        <v>6</v>
      </c>
      <c r="Z41" s="35" t="s">
        <v>6</v>
      </c>
      <c r="AA41" s="34" t="s">
        <v>6</v>
      </c>
      <c r="AB41" s="34" t="s">
        <v>6</v>
      </c>
    </row>
    <row r="42" spans="1:28" x14ac:dyDescent="0.25">
      <c r="A42" s="35" t="s">
        <v>6</v>
      </c>
      <c r="B42" s="34" t="s">
        <v>6</v>
      </c>
      <c r="C42" s="34" t="s">
        <v>6</v>
      </c>
      <c r="D42" s="34" t="s">
        <v>6</v>
      </c>
      <c r="E42" s="34" t="s">
        <v>6</v>
      </c>
      <c r="F42" s="34" t="s">
        <v>6</v>
      </c>
      <c r="G42" s="34" t="s">
        <v>6</v>
      </c>
      <c r="H42" s="34" t="s">
        <v>6</v>
      </c>
      <c r="I42" s="38">
        <v>0</v>
      </c>
      <c r="J42" s="38">
        <v>0</v>
      </c>
      <c r="K42" s="38">
        <v>0</v>
      </c>
      <c r="L42" s="38">
        <v>0</v>
      </c>
      <c r="M42" s="38">
        <v>0</v>
      </c>
      <c r="N42" s="38">
        <v>0</v>
      </c>
      <c r="O42" s="38">
        <v>0</v>
      </c>
      <c r="P42" s="38">
        <v>0</v>
      </c>
      <c r="Q42" s="38">
        <v>0</v>
      </c>
      <c r="R42" s="38">
        <v>0</v>
      </c>
      <c r="S42" s="38">
        <v>0</v>
      </c>
      <c r="T42" s="38">
        <v>0</v>
      </c>
      <c r="U42" s="38">
        <v>0</v>
      </c>
      <c r="V42" s="38">
        <v>0</v>
      </c>
      <c r="W42" s="35" t="s">
        <v>6</v>
      </c>
      <c r="X42" s="35" t="s">
        <v>6</v>
      </c>
      <c r="Y42" s="35" t="s">
        <v>6</v>
      </c>
      <c r="Z42" s="35" t="s">
        <v>6</v>
      </c>
      <c r="AA42" s="34" t="s">
        <v>6</v>
      </c>
      <c r="AB42" s="34" t="s">
        <v>6</v>
      </c>
    </row>
    <row r="43" spans="1:28" x14ac:dyDescent="0.25">
      <c r="A43" s="35" t="s">
        <v>6</v>
      </c>
      <c r="B43" s="34" t="s">
        <v>6</v>
      </c>
      <c r="C43" s="34" t="s">
        <v>6</v>
      </c>
      <c r="D43" s="34" t="s">
        <v>6</v>
      </c>
      <c r="E43" s="34" t="s">
        <v>6</v>
      </c>
      <c r="F43" s="34" t="s">
        <v>6</v>
      </c>
      <c r="G43" s="34" t="s">
        <v>6</v>
      </c>
      <c r="H43" s="34" t="s">
        <v>6</v>
      </c>
      <c r="I43" s="38">
        <v>0</v>
      </c>
      <c r="J43" s="38">
        <v>0</v>
      </c>
      <c r="K43" s="38">
        <v>0</v>
      </c>
      <c r="L43" s="38">
        <v>0</v>
      </c>
      <c r="M43" s="38">
        <v>0</v>
      </c>
      <c r="N43" s="38">
        <v>0</v>
      </c>
      <c r="O43" s="38">
        <v>0</v>
      </c>
      <c r="P43" s="38">
        <v>0</v>
      </c>
      <c r="Q43" s="38">
        <v>0</v>
      </c>
      <c r="R43" s="38">
        <v>0</v>
      </c>
      <c r="S43" s="38">
        <v>0</v>
      </c>
      <c r="T43" s="38">
        <v>0</v>
      </c>
      <c r="U43" s="38">
        <v>0</v>
      </c>
      <c r="V43" s="38">
        <v>0</v>
      </c>
      <c r="W43" s="35" t="s">
        <v>6</v>
      </c>
      <c r="X43" s="35" t="s">
        <v>6</v>
      </c>
      <c r="Y43" s="35" t="s">
        <v>6</v>
      </c>
      <c r="Z43" s="35" t="s">
        <v>6</v>
      </c>
      <c r="AA43" s="34" t="s">
        <v>6</v>
      </c>
      <c r="AB43" s="34" t="s">
        <v>6</v>
      </c>
    </row>
    <row r="44" spans="1:28" x14ac:dyDescent="0.25">
      <c r="A44" s="35" t="s">
        <v>6</v>
      </c>
      <c r="B44" s="34" t="s">
        <v>6</v>
      </c>
      <c r="C44" s="34" t="s">
        <v>6</v>
      </c>
      <c r="D44" s="34" t="s">
        <v>6</v>
      </c>
      <c r="E44" s="34" t="s">
        <v>6</v>
      </c>
      <c r="F44" s="34" t="s">
        <v>6</v>
      </c>
      <c r="G44" s="34" t="s">
        <v>6</v>
      </c>
      <c r="H44" s="34" t="s">
        <v>6</v>
      </c>
      <c r="I44" s="38">
        <v>0</v>
      </c>
      <c r="J44" s="38">
        <v>0</v>
      </c>
      <c r="K44" s="38">
        <v>0</v>
      </c>
      <c r="L44" s="38">
        <v>0</v>
      </c>
      <c r="M44" s="38">
        <v>0</v>
      </c>
      <c r="N44" s="38">
        <v>0</v>
      </c>
      <c r="O44" s="38">
        <v>0</v>
      </c>
      <c r="P44" s="38">
        <v>0</v>
      </c>
      <c r="Q44" s="38">
        <v>0</v>
      </c>
      <c r="R44" s="38">
        <v>0</v>
      </c>
      <c r="S44" s="38">
        <v>0</v>
      </c>
      <c r="T44" s="38">
        <v>0</v>
      </c>
      <c r="U44" s="38">
        <v>0</v>
      </c>
      <c r="V44" s="38">
        <v>0</v>
      </c>
      <c r="W44" s="35" t="s">
        <v>6</v>
      </c>
      <c r="X44" s="35" t="s">
        <v>6</v>
      </c>
      <c r="Y44" s="35" t="s">
        <v>6</v>
      </c>
      <c r="Z44" s="35" t="s">
        <v>6</v>
      </c>
      <c r="AA44" s="34" t="s">
        <v>6</v>
      </c>
      <c r="AB44" s="34" t="s">
        <v>6</v>
      </c>
    </row>
    <row r="45" spans="1:28" x14ac:dyDescent="0.25">
      <c r="A45" s="35" t="s">
        <v>6</v>
      </c>
      <c r="B45" s="34" t="s">
        <v>6</v>
      </c>
      <c r="C45" s="34" t="s">
        <v>6</v>
      </c>
      <c r="D45" s="34" t="s">
        <v>6</v>
      </c>
      <c r="E45" s="34" t="s">
        <v>6</v>
      </c>
      <c r="F45" s="34" t="s">
        <v>6</v>
      </c>
      <c r="G45" s="34" t="s">
        <v>6</v>
      </c>
      <c r="H45" s="34" t="s">
        <v>6</v>
      </c>
      <c r="I45" s="38">
        <v>0</v>
      </c>
      <c r="J45" s="38">
        <v>0</v>
      </c>
      <c r="K45" s="38">
        <v>0</v>
      </c>
      <c r="L45" s="38">
        <v>0</v>
      </c>
      <c r="M45" s="38">
        <v>0</v>
      </c>
      <c r="N45" s="38">
        <v>0</v>
      </c>
      <c r="O45" s="38">
        <v>0</v>
      </c>
      <c r="P45" s="38">
        <v>0</v>
      </c>
      <c r="Q45" s="38">
        <v>0</v>
      </c>
      <c r="R45" s="38">
        <v>0</v>
      </c>
      <c r="S45" s="38">
        <v>0</v>
      </c>
      <c r="T45" s="38">
        <v>0</v>
      </c>
      <c r="U45" s="38">
        <v>0</v>
      </c>
      <c r="V45" s="38">
        <v>0</v>
      </c>
      <c r="W45" s="35" t="s">
        <v>6</v>
      </c>
      <c r="X45" s="35" t="s">
        <v>6</v>
      </c>
      <c r="Y45" s="35" t="s">
        <v>6</v>
      </c>
      <c r="Z45" s="35" t="s">
        <v>6</v>
      </c>
      <c r="AA45" s="34" t="s">
        <v>6</v>
      </c>
      <c r="AB45" s="34" t="s">
        <v>6</v>
      </c>
    </row>
    <row r="46" spans="1:28" x14ac:dyDescent="0.25">
      <c r="A46" s="35" t="s">
        <v>6</v>
      </c>
      <c r="B46" s="34" t="s">
        <v>6</v>
      </c>
      <c r="C46" s="34" t="s">
        <v>6</v>
      </c>
      <c r="D46" s="34" t="s">
        <v>6</v>
      </c>
      <c r="E46" s="34" t="s">
        <v>6</v>
      </c>
      <c r="F46" s="34" t="s">
        <v>6</v>
      </c>
      <c r="G46" s="34" t="s">
        <v>6</v>
      </c>
      <c r="H46" s="34" t="s">
        <v>6</v>
      </c>
      <c r="I46" s="38">
        <v>0</v>
      </c>
      <c r="J46" s="38">
        <v>0</v>
      </c>
      <c r="K46" s="38">
        <v>0</v>
      </c>
      <c r="L46" s="38">
        <v>0</v>
      </c>
      <c r="M46" s="38">
        <v>0</v>
      </c>
      <c r="N46" s="38">
        <v>0</v>
      </c>
      <c r="O46" s="38">
        <v>0</v>
      </c>
      <c r="P46" s="38">
        <v>0</v>
      </c>
      <c r="Q46" s="38">
        <v>0</v>
      </c>
      <c r="R46" s="38">
        <v>0</v>
      </c>
      <c r="S46" s="38">
        <v>0</v>
      </c>
      <c r="T46" s="38">
        <v>0</v>
      </c>
      <c r="U46" s="38">
        <v>0</v>
      </c>
      <c r="V46" s="38">
        <v>0</v>
      </c>
      <c r="W46" s="35" t="s">
        <v>6</v>
      </c>
      <c r="X46" s="35" t="s">
        <v>6</v>
      </c>
      <c r="Y46" s="35" t="s">
        <v>6</v>
      </c>
      <c r="Z46" s="35" t="s">
        <v>6</v>
      </c>
      <c r="AA46" s="34" t="s">
        <v>6</v>
      </c>
      <c r="AB46" s="34" t="s">
        <v>6</v>
      </c>
    </row>
    <row r="47" spans="1:28" x14ac:dyDescent="0.25">
      <c r="A47" s="35" t="s">
        <v>6</v>
      </c>
      <c r="B47" s="34" t="s">
        <v>6</v>
      </c>
      <c r="C47" s="34" t="s">
        <v>6</v>
      </c>
      <c r="D47" s="34" t="s">
        <v>6</v>
      </c>
      <c r="E47" s="34" t="s">
        <v>6</v>
      </c>
      <c r="F47" s="34" t="s">
        <v>6</v>
      </c>
      <c r="G47" s="34" t="s">
        <v>6</v>
      </c>
      <c r="H47" s="34" t="s">
        <v>6</v>
      </c>
      <c r="I47" s="38">
        <v>0</v>
      </c>
      <c r="J47" s="38">
        <v>0</v>
      </c>
      <c r="K47" s="38">
        <v>0</v>
      </c>
      <c r="L47" s="38">
        <v>0</v>
      </c>
      <c r="M47" s="38">
        <v>0</v>
      </c>
      <c r="N47" s="38">
        <v>0</v>
      </c>
      <c r="O47" s="38">
        <v>0</v>
      </c>
      <c r="P47" s="38">
        <v>0</v>
      </c>
      <c r="Q47" s="38">
        <v>0</v>
      </c>
      <c r="R47" s="38">
        <v>0</v>
      </c>
      <c r="S47" s="38">
        <v>0</v>
      </c>
      <c r="T47" s="38">
        <v>0</v>
      </c>
      <c r="U47" s="38">
        <v>0</v>
      </c>
      <c r="V47" s="38">
        <v>0</v>
      </c>
      <c r="W47" s="35" t="s">
        <v>6</v>
      </c>
      <c r="X47" s="35" t="s">
        <v>6</v>
      </c>
      <c r="Y47" s="35" t="s">
        <v>6</v>
      </c>
      <c r="Z47" s="35" t="s">
        <v>6</v>
      </c>
      <c r="AA47" s="34" t="s">
        <v>6</v>
      </c>
      <c r="AB47" s="34" t="s">
        <v>6</v>
      </c>
    </row>
    <row r="48" spans="1:28" x14ac:dyDescent="0.25">
      <c r="A48" s="35" t="s">
        <v>6</v>
      </c>
      <c r="B48" s="34" t="s">
        <v>6</v>
      </c>
      <c r="C48" s="34" t="s">
        <v>6</v>
      </c>
      <c r="D48" s="34" t="s">
        <v>6</v>
      </c>
      <c r="E48" s="34" t="s">
        <v>6</v>
      </c>
      <c r="F48" s="34" t="s">
        <v>6</v>
      </c>
      <c r="G48" s="34" t="s">
        <v>6</v>
      </c>
      <c r="H48" s="34" t="s">
        <v>6</v>
      </c>
      <c r="I48" s="38">
        <v>0</v>
      </c>
      <c r="J48" s="38">
        <v>0</v>
      </c>
      <c r="K48" s="38">
        <v>0</v>
      </c>
      <c r="L48" s="38">
        <v>0</v>
      </c>
      <c r="M48" s="38">
        <v>0</v>
      </c>
      <c r="N48" s="38">
        <v>0</v>
      </c>
      <c r="O48" s="38">
        <v>0</v>
      </c>
      <c r="P48" s="38">
        <v>0</v>
      </c>
      <c r="Q48" s="38">
        <v>0</v>
      </c>
      <c r="R48" s="38">
        <v>0</v>
      </c>
      <c r="S48" s="38">
        <v>0</v>
      </c>
      <c r="T48" s="38">
        <v>0</v>
      </c>
      <c r="U48" s="38">
        <v>0</v>
      </c>
      <c r="V48" s="38">
        <v>0</v>
      </c>
      <c r="W48" s="35" t="s">
        <v>6</v>
      </c>
      <c r="X48" s="35" t="s">
        <v>6</v>
      </c>
      <c r="Y48" s="35" t="s">
        <v>6</v>
      </c>
      <c r="Z48" s="35" t="s">
        <v>6</v>
      </c>
      <c r="AA48" s="34" t="s">
        <v>6</v>
      </c>
      <c r="AB48" s="34" t="s">
        <v>6</v>
      </c>
    </row>
    <row r="49" spans="1:28" x14ac:dyDescent="0.25">
      <c r="A49" s="35" t="s">
        <v>6</v>
      </c>
      <c r="B49" s="34" t="s">
        <v>6</v>
      </c>
      <c r="C49" s="34" t="s">
        <v>6</v>
      </c>
      <c r="D49" s="34" t="s">
        <v>6</v>
      </c>
      <c r="E49" s="34" t="s">
        <v>6</v>
      </c>
      <c r="F49" s="34" t="s">
        <v>6</v>
      </c>
      <c r="G49" s="34" t="s">
        <v>6</v>
      </c>
      <c r="H49" s="34" t="s">
        <v>6</v>
      </c>
      <c r="I49" s="38">
        <v>0</v>
      </c>
      <c r="J49" s="38">
        <v>0</v>
      </c>
      <c r="K49" s="38">
        <v>0</v>
      </c>
      <c r="L49" s="38">
        <v>0</v>
      </c>
      <c r="M49" s="38">
        <v>0</v>
      </c>
      <c r="N49" s="38">
        <v>0</v>
      </c>
      <c r="O49" s="38">
        <v>0</v>
      </c>
      <c r="P49" s="38">
        <v>0</v>
      </c>
      <c r="Q49" s="38">
        <v>0</v>
      </c>
      <c r="R49" s="38">
        <v>0</v>
      </c>
      <c r="S49" s="38">
        <v>0</v>
      </c>
      <c r="T49" s="38">
        <v>0</v>
      </c>
      <c r="U49" s="38">
        <v>0</v>
      </c>
      <c r="V49" s="38">
        <v>0</v>
      </c>
      <c r="W49" s="35" t="s">
        <v>6</v>
      </c>
      <c r="X49" s="35" t="s">
        <v>6</v>
      </c>
      <c r="Y49" s="35" t="s">
        <v>6</v>
      </c>
      <c r="Z49" s="35" t="s">
        <v>6</v>
      </c>
      <c r="AA49" s="34" t="s">
        <v>6</v>
      </c>
      <c r="AB49" s="34" t="s">
        <v>6</v>
      </c>
    </row>
    <row r="50" spans="1:28" x14ac:dyDescent="0.25">
      <c r="A50" s="35" t="s">
        <v>6</v>
      </c>
      <c r="B50" s="34" t="s">
        <v>6</v>
      </c>
      <c r="C50" s="34" t="s">
        <v>6</v>
      </c>
      <c r="D50" s="34" t="s">
        <v>6</v>
      </c>
      <c r="E50" s="34" t="s">
        <v>6</v>
      </c>
      <c r="F50" s="34" t="s">
        <v>6</v>
      </c>
      <c r="G50" s="34" t="s">
        <v>6</v>
      </c>
      <c r="H50" s="34" t="s">
        <v>6</v>
      </c>
      <c r="I50" s="38">
        <v>0</v>
      </c>
      <c r="J50" s="38">
        <v>0</v>
      </c>
      <c r="K50" s="38">
        <v>0</v>
      </c>
      <c r="L50" s="38">
        <v>0</v>
      </c>
      <c r="M50" s="38">
        <v>0</v>
      </c>
      <c r="N50" s="38">
        <v>0</v>
      </c>
      <c r="O50" s="38">
        <v>0</v>
      </c>
      <c r="P50" s="38">
        <v>0</v>
      </c>
      <c r="Q50" s="38">
        <v>0</v>
      </c>
      <c r="R50" s="38">
        <v>0</v>
      </c>
      <c r="S50" s="38">
        <v>0</v>
      </c>
      <c r="T50" s="38">
        <v>0</v>
      </c>
      <c r="U50" s="38">
        <v>0</v>
      </c>
      <c r="V50" s="38">
        <v>0</v>
      </c>
      <c r="W50" s="35" t="s">
        <v>6</v>
      </c>
      <c r="X50" s="35" t="s">
        <v>6</v>
      </c>
      <c r="Y50" s="35" t="s">
        <v>6</v>
      </c>
      <c r="Z50" s="35" t="s">
        <v>6</v>
      </c>
      <c r="AA50" s="34" t="s">
        <v>6</v>
      </c>
      <c r="AB50" s="34" t="s">
        <v>6</v>
      </c>
    </row>
    <row r="51" spans="1:28" x14ac:dyDescent="0.25">
      <c r="A51" s="35" t="s">
        <v>6</v>
      </c>
      <c r="B51" s="34" t="s">
        <v>6</v>
      </c>
      <c r="C51" s="34" t="s">
        <v>6</v>
      </c>
      <c r="D51" s="34" t="s">
        <v>6</v>
      </c>
      <c r="E51" s="34" t="s">
        <v>6</v>
      </c>
      <c r="F51" s="34" t="s">
        <v>6</v>
      </c>
      <c r="G51" s="34" t="s">
        <v>6</v>
      </c>
      <c r="H51" s="34" t="s">
        <v>6</v>
      </c>
      <c r="I51" s="38">
        <v>0</v>
      </c>
      <c r="J51" s="38">
        <v>0</v>
      </c>
      <c r="K51" s="38">
        <v>0</v>
      </c>
      <c r="L51" s="38">
        <v>0</v>
      </c>
      <c r="M51" s="38">
        <v>0</v>
      </c>
      <c r="N51" s="38">
        <v>0</v>
      </c>
      <c r="O51" s="38">
        <v>0</v>
      </c>
      <c r="P51" s="38">
        <v>0</v>
      </c>
      <c r="Q51" s="38">
        <v>0</v>
      </c>
      <c r="R51" s="38">
        <v>0</v>
      </c>
      <c r="S51" s="38">
        <v>0</v>
      </c>
      <c r="T51" s="38">
        <v>0</v>
      </c>
      <c r="U51" s="38">
        <v>0</v>
      </c>
      <c r="V51" s="38">
        <v>0</v>
      </c>
      <c r="W51" s="35" t="s">
        <v>6</v>
      </c>
      <c r="X51" s="35" t="s">
        <v>6</v>
      </c>
      <c r="Y51" s="35" t="s">
        <v>6</v>
      </c>
      <c r="Z51" s="35" t="s">
        <v>6</v>
      </c>
      <c r="AA51" s="34" t="s">
        <v>6</v>
      </c>
      <c r="AB51" s="34" t="s">
        <v>6</v>
      </c>
    </row>
    <row r="52" spans="1:28" x14ac:dyDescent="0.25">
      <c r="A52" s="35" t="s">
        <v>6</v>
      </c>
      <c r="B52" s="34" t="s">
        <v>6</v>
      </c>
      <c r="C52" s="34" t="s">
        <v>6</v>
      </c>
      <c r="D52" s="34" t="s">
        <v>6</v>
      </c>
      <c r="E52" s="34" t="s">
        <v>6</v>
      </c>
      <c r="F52" s="34" t="s">
        <v>6</v>
      </c>
      <c r="G52" s="34" t="s">
        <v>6</v>
      </c>
      <c r="H52" s="34" t="s">
        <v>6</v>
      </c>
      <c r="I52" s="38">
        <v>0</v>
      </c>
      <c r="J52" s="38">
        <v>0</v>
      </c>
      <c r="K52" s="38">
        <v>0</v>
      </c>
      <c r="L52" s="38">
        <v>0</v>
      </c>
      <c r="M52" s="38">
        <v>0</v>
      </c>
      <c r="N52" s="38">
        <v>0</v>
      </c>
      <c r="O52" s="38">
        <v>0</v>
      </c>
      <c r="P52" s="38">
        <v>0</v>
      </c>
      <c r="Q52" s="38">
        <v>0</v>
      </c>
      <c r="R52" s="38">
        <v>0</v>
      </c>
      <c r="S52" s="38">
        <v>0</v>
      </c>
      <c r="T52" s="38">
        <v>0</v>
      </c>
      <c r="U52" s="38">
        <v>0</v>
      </c>
      <c r="V52" s="38">
        <v>0</v>
      </c>
      <c r="W52" s="35" t="s">
        <v>6</v>
      </c>
      <c r="X52" s="35" t="s">
        <v>6</v>
      </c>
      <c r="Y52" s="35" t="s">
        <v>6</v>
      </c>
      <c r="Z52" s="35" t="s">
        <v>6</v>
      </c>
      <c r="AA52" s="34" t="s">
        <v>6</v>
      </c>
      <c r="AB52" s="34" t="s">
        <v>6</v>
      </c>
    </row>
    <row r="53" spans="1:28" x14ac:dyDescent="0.25">
      <c r="A53" s="35" t="s">
        <v>6</v>
      </c>
      <c r="B53" s="34" t="s">
        <v>6</v>
      </c>
      <c r="C53" s="34" t="s">
        <v>6</v>
      </c>
      <c r="D53" s="34" t="s">
        <v>6</v>
      </c>
      <c r="E53" s="34" t="s">
        <v>6</v>
      </c>
      <c r="F53" s="34" t="s">
        <v>6</v>
      </c>
      <c r="G53" s="34" t="s">
        <v>6</v>
      </c>
      <c r="H53" s="34" t="s">
        <v>6</v>
      </c>
      <c r="I53" s="38">
        <v>0</v>
      </c>
      <c r="J53" s="38">
        <v>0</v>
      </c>
      <c r="K53" s="38">
        <v>0</v>
      </c>
      <c r="L53" s="38">
        <v>0</v>
      </c>
      <c r="M53" s="38">
        <v>0</v>
      </c>
      <c r="N53" s="38">
        <v>0</v>
      </c>
      <c r="O53" s="38">
        <v>0</v>
      </c>
      <c r="P53" s="38">
        <v>0</v>
      </c>
      <c r="Q53" s="38">
        <v>0</v>
      </c>
      <c r="R53" s="38">
        <v>0</v>
      </c>
      <c r="S53" s="38">
        <v>0</v>
      </c>
      <c r="T53" s="38">
        <v>0</v>
      </c>
      <c r="U53" s="38">
        <v>0</v>
      </c>
      <c r="V53" s="38">
        <v>0</v>
      </c>
      <c r="W53" s="35" t="s">
        <v>6</v>
      </c>
      <c r="X53" s="35" t="s">
        <v>6</v>
      </c>
      <c r="Y53" s="35" t="s">
        <v>6</v>
      </c>
      <c r="Z53" s="35" t="s">
        <v>6</v>
      </c>
      <c r="AA53" s="34" t="s">
        <v>6</v>
      </c>
      <c r="AB53" s="34" t="s">
        <v>6</v>
      </c>
    </row>
    <row r="54" spans="1:28" x14ac:dyDescent="0.25">
      <c r="A54" s="35" t="s">
        <v>6</v>
      </c>
      <c r="B54" s="34" t="s">
        <v>6</v>
      </c>
      <c r="C54" s="34" t="s">
        <v>6</v>
      </c>
      <c r="D54" s="34" t="s">
        <v>6</v>
      </c>
      <c r="E54" s="34" t="s">
        <v>6</v>
      </c>
      <c r="F54" s="34" t="s">
        <v>6</v>
      </c>
      <c r="G54" s="34" t="s">
        <v>6</v>
      </c>
      <c r="H54" s="34" t="s">
        <v>6</v>
      </c>
      <c r="I54" s="38">
        <v>0</v>
      </c>
      <c r="J54" s="38">
        <v>0</v>
      </c>
      <c r="K54" s="38">
        <v>0</v>
      </c>
      <c r="L54" s="38">
        <v>0</v>
      </c>
      <c r="M54" s="38">
        <v>0</v>
      </c>
      <c r="N54" s="38">
        <v>0</v>
      </c>
      <c r="O54" s="38">
        <v>0</v>
      </c>
      <c r="P54" s="38">
        <v>0</v>
      </c>
      <c r="Q54" s="38">
        <v>0</v>
      </c>
      <c r="R54" s="38">
        <v>0</v>
      </c>
      <c r="S54" s="38">
        <v>0</v>
      </c>
      <c r="T54" s="38">
        <v>0</v>
      </c>
      <c r="U54" s="38">
        <v>0</v>
      </c>
      <c r="V54" s="38">
        <v>0</v>
      </c>
      <c r="W54" s="35" t="s">
        <v>6</v>
      </c>
      <c r="X54" s="35" t="s">
        <v>6</v>
      </c>
      <c r="Y54" s="35" t="s">
        <v>6</v>
      </c>
      <c r="Z54" s="35" t="s">
        <v>6</v>
      </c>
      <c r="AA54" s="34" t="s">
        <v>6</v>
      </c>
      <c r="AB54" s="34" t="s">
        <v>6</v>
      </c>
    </row>
    <row r="55" spans="1:28" x14ac:dyDescent="0.25">
      <c r="A55" s="35" t="s">
        <v>6</v>
      </c>
      <c r="B55" s="34" t="s">
        <v>6</v>
      </c>
      <c r="C55" s="34" t="s">
        <v>6</v>
      </c>
      <c r="D55" s="34" t="s">
        <v>6</v>
      </c>
      <c r="E55" s="34" t="s">
        <v>6</v>
      </c>
      <c r="F55" s="34" t="s">
        <v>6</v>
      </c>
      <c r="G55" s="34" t="s">
        <v>6</v>
      </c>
      <c r="H55" s="34" t="s">
        <v>6</v>
      </c>
      <c r="I55" s="38">
        <v>0</v>
      </c>
      <c r="J55" s="38">
        <v>0</v>
      </c>
      <c r="K55" s="38">
        <v>0</v>
      </c>
      <c r="L55" s="38">
        <v>0</v>
      </c>
      <c r="M55" s="38">
        <v>0</v>
      </c>
      <c r="N55" s="38">
        <v>0</v>
      </c>
      <c r="O55" s="38">
        <v>0</v>
      </c>
      <c r="P55" s="38">
        <v>0</v>
      </c>
      <c r="Q55" s="38">
        <v>0</v>
      </c>
      <c r="R55" s="38">
        <v>0</v>
      </c>
      <c r="S55" s="38">
        <v>0</v>
      </c>
      <c r="T55" s="38">
        <v>0</v>
      </c>
      <c r="U55" s="38">
        <v>0</v>
      </c>
      <c r="V55" s="38">
        <v>0</v>
      </c>
      <c r="W55" s="35" t="s">
        <v>6</v>
      </c>
      <c r="X55" s="35" t="s">
        <v>6</v>
      </c>
      <c r="Y55" s="35" t="s">
        <v>6</v>
      </c>
      <c r="Z55" s="35" t="s">
        <v>6</v>
      </c>
      <c r="AA55" s="34" t="s">
        <v>6</v>
      </c>
      <c r="AB55" s="34" t="s">
        <v>6</v>
      </c>
    </row>
    <row r="56" spans="1:28" x14ac:dyDescent="0.25">
      <c r="A56" s="35" t="s">
        <v>6</v>
      </c>
      <c r="B56" s="34" t="s">
        <v>6</v>
      </c>
      <c r="C56" s="34" t="s">
        <v>6</v>
      </c>
      <c r="D56" s="34" t="s">
        <v>6</v>
      </c>
      <c r="E56" s="34" t="s">
        <v>6</v>
      </c>
      <c r="F56" s="34" t="s">
        <v>6</v>
      </c>
      <c r="G56" s="34" t="s">
        <v>6</v>
      </c>
      <c r="H56" s="34" t="s">
        <v>6</v>
      </c>
      <c r="I56" s="38">
        <v>0</v>
      </c>
      <c r="J56" s="38">
        <v>0</v>
      </c>
      <c r="K56" s="38">
        <v>0</v>
      </c>
      <c r="L56" s="38">
        <v>0</v>
      </c>
      <c r="M56" s="38">
        <v>0</v>
      </c>
      <c r="N56" s="38">
        <v>0</v>
      </c>
      <c r="O56" s="38">
        <v>0</v>
      </c>
      <c r="P56" s="38">
        <v>0</v>
      </c>
      <c r="Q56" s="38">
        <v>0</v>
      </c>
      <c r="R56" s="38">
        <v>0</v>
      </c>
      <c r="S56" s="38">
        <v>0</v>
      </c>
      <c r="T56" s="38">
        <v>0</v>
      </c>
      <c r="U56" s="38">
        <v>0</v>
      </c>
      <c r="V56" s="38">
        <v>0</v>
      </c>
      <c r="W56" s="35" t="s">
        <v>6</v>
      </c>
      <c r="X56" s="35" t="s">
        <v>6</v>
      </c>
      <c r="Y56" s="35" t="s">
        <v>6</v>
      </c>
      <c r="Z56" s="35" t="s">
        <v>6</v>
      </c>
      <c r="AA56" s="34" t="s">
        <v>6</v>
      </c>
      <c r="AB56" s="34" t="s">
        <v>6</v>
      </c>
    </row>
    <row r="57" spans="1:28" x14ac:dyDescent="0.25">
      <c r="A57" s="35" t="s">
        <v>6</v>
      </c>
      <c r="B57" s="34" t="s">
        <v>6</v>
      </c>
      <c r="C57" s="34" t="s">
        <v>6</v>
      </c>
      <c r="D57" s="34" t="s">
        <v>6</v>
      </c>
      <c r="E57" s="34" t="s">
        <v>6</v>
      </c>
      <c r="F57" s="34" t="s">
        <v>6</v>
      </c>
      <c r="G57" s="34" t="s">
        <v>6</v>
      </c>
      <c r="H57" s="34" t="s">
        <v>6</v>
      </c>
      <c r="I57" s="38">
        <v>0</v>
      </c>
      <c r="J57" s="38">
        <v>0</v>
      </c>
      <c r="K57" s="38">
        <v>0</v>
      </c>
      <c r="L57" s="38">
        <v>0</v>
      </c>
      <c r="M57" s="38">
        <v>0</v>
      </c>
      <c r="N57" s="38">
        <v>0</v>
      </c>
      <c r="O57" s="38">
        <v>0</v>
      </c>
      <c r="P57" s="38">
        <v>0</v>
      </c>
      <c r="Q57" s="38">
        <v>0</v>
      </c>
      <c r="R57" s="38">
        <v>0</v>
      </c>
      <c r="S57" s="38">
        <v>0</v>
      </c>
      <c r="T57" s="38">
        <v>0</v>
      </c>
      <c r="U57" s="38">
        <v>0</v>
      </c>
      <c r="V57" s="38">
        <v>0</v>
      </c>
      <c r="W57" s="35" t="s">
        <v>6</v>
      </c>
      <c r="X57" s="35" t="s">
        <v>6</v>
      </c>
      <c r="Y57" s="35" t="s">
        <v>6</v>
      </c>
      <c r="Z57" s="35" t="s">
        <v>6</v>
      </c>
      <c r="AA57" s="34" t="s">
        <v>6</v>
      </c>
      <c r="AB57" s="34" t="s">
        <v>6</v>
      </c>
    </row>
    <row r="58" spans="1:28" x14ac:dyDescent="0.25">
      <c r="A58" s="35" t="s">
        <v>6</v>
      </c>
      <c r="B58" s="34" t="s">
        <v>6</v>
      </c>
      <c r="C58" s="34" t="s">
        <v>6</v>
      </c>
      <c r="D58" s="34" t="s">
        <v>6</v>
      </c>
      <c r="E58" s="34" t="s">
        <v>6</v>
      </c>
      <c r="F58" s="34" t="s">
        <v>6</v>
      </c>
      <c r="G58" s="34" t="s">
        <v>6</v>
      </c>
      <c r="H58" s="34" t="s">
        <v>6</v>
      </c>
      <c r="I58" s="38">
        <v>0</v>
      </c>
      <c r="J58" s="38">
        <v>0</v>
      </c>
      <c r="K58" s="38">
        <v>0</v>
      </c>
      <c r="L58" s="38">
        <v>0</v>
      </c>
      <c r="M58" s="38">
        <v>0</v>
      </c>
      <c r="N58" s="38">
        <v>0</v>
      </c>
      <c r="O58" s="38">
        <v>0</v>
      </c>
      <c r="P58" s="38">
        <v>0</v>
      </c>
      <c r="Q58" s="38">
        <v>0</v>
      </c>
      <c r="R58" s="38">
        <v>0</v>
      </c>
      <c r="S58" s="38">
        <v>0</v>
      </c>
      <c r="T58" s="38">
        <v>0</v>
      </c>
      <c r="U58" s="38">
        <v>0</v>
      </c>
      <c r="V58" s="38">
        <v>0</v>
      </c>
      <c r="W58" s="35" t="s">
        <v>6</v>
      </c>
      <c r="X58" s="35" t="s">
        <v>6</v>
      </c>
      <c r="Y58" s="35" t="s">
        <v>6</v>
      </c>
      <c r="Z58" s="35" t="s">
        <v>6</v>
      </c>
      <c r="AA58" s="34" t="s">
        <v>6</v>
      </c>
      <c r="AB58" s="34" t="s">
        <v>6</v>
      </c>
    </row>
    <row r="59" spans="1:28" x14ac:dyDescent="0.25">
      <c r="A59" s="35" t="s">
        <v>6</v>
      </c>
      <c r="B59" s="34" t="s">
        <v>6</v>
      </c>
      <c r="C59" s="34" t="s">
        <v>6</v>
      </c>
      <c r="D59" s="34" t="s">
        <v>6</v>
      </c>
      <c r="E59" s="34" t="s">
        <v>6</v>
      </c>
      <c r="F59" s="34" t="s">
        <v>6</v>
      </c>
      <c r="G59" s="34" t="s">
        <v>6</v>
      </c>
      <c r="H59" s="34" t="s">
        <v>6</v>
      </c>
      <c r="I59" s="38">
        <v>0</v>
      </c>
      <c r="J59" s="38">
        <v>0</v>
      </c>
      <c r="K59" s="38">
        <v>0</v>
      </c>
      <c r="L59" s="38">
        <v>0</v>
      </c>
      <c r="M59" s="38">
        <v>0</v>
      </c>
      <c r="N59" s="38">
        <v>0</v>
      </c>
      <c r="O59" s="38">
        <v>0</v>
      </c>
      <c r="P59" s="38">
        <v>0</v>
      </c>
      <c r="Q59" s="38">
        <v>0</v>
      </c>
      <c r="R59" s="38">
        <v>0</v>
      </c>
      <c r="S59" s="38">
        <v>0</v>
      </c>
      <c r="T59" s="38">
        <v>0</v>
      </c>
      <c r="U59" s="38">
        <v>0</v>
      </c>
      <c r="V59" s="38">
        <v>0</v>
      </c>
      <c r="W59" s="35" t="s">
        <v>6</v>
      </c>
      <c r="X59" s="35" t="s">
        <v>6</v>
      </c>
      <c r="Y59" s="35" t="s">
        <v>6</v>
      </c>
      <c r="Z59" s="35" t="s">
        <v>6</v>
      </c>
      <c r="AA59" s="34" t="s">
        <v>6</v>
      </c>
      <c r="AB59" s="34" t="s">
        <v>6</v>
      </c>
    </row>
    <row r="60" spans="1:28" x14ac:dyDescent="0.25">
      <c r="A60" s="35" t="s">
        <v>6</v>
      </c>
      <c r="B60" s="34" t="s">
        <v>6</v>
      </c>
      <c r="C60" s="34" t="s">
        <v>6</v>
      </c>
      <c r="D60" s="34" t="s">
        <v>6</v>
      </c>
      <c r="E60" s="34" t="s">
        <v>6</v>
      </c>
      <c r="F60" s="34" t="s">
        <v>6</v>
      </c>
      <c r="G60" s="34" t="s">
        <v>6</v>
      </c>
      <c r="H60" s="34" t="s">
        <v>6</v>
      </c>
      <c r="I60" s="38">
        <v>0</v>
      </c>
      <c r="J60" s="38">
        <v>0</v>
      </c>
      <c r="K60" s="38">
        <v>0</v>
      </c>
      <c r="L60" s="38">
        <v>0</v>
      </c>
      <c r="M60" s="38">
        <v>0</v>
      </c>
      <c r="N60" s="38">
        <v>0</v>
      </c>
      <c r="O60" s="38">
        <v>0</v>
      </c>
      <c r="P60" s="38">
        <v>0</v>
      </c>
      <c r="Q60" s="38">
        <v>0</v>
      </c>
      <c r="R60" s="38">
        <v>0</v>
      </c>
      <c r="S60" s="38">
        <v>0</v>
      </c>
      <c r="T60" s="38">
        <v>0</v>
      </c>
      <c r="U60" s="38">
        <v>0</v>
      </c>
      <c r="V60" s="38">
        <v>0</v>
      </c>
      <c r="W60" s="35" t="s">
        <v>6</v>
      </c>
      <c r="X60" s="35" t="s">
        <v>6</v>
      </c>
      <c r="Y60" s="35" t="s">
        <v>6</v>
      </c>
      <c r="Z60" s="35" t="s">
        <v>6</v>
      </c>
      <c r="AA60" s="34" t="s">
        <v>6</v>
      </c>
      <c r="AB60" s="34" t="s">
        <v>6</v>
      </c>
    </row>
    <row r="61" spans="1:28" x14ac:dyDescent="0.25">
      <c r="A61" s="35" t="s">
        <v>6</v>
      </c>
      <c r="B61" s="34" t="s">
        <v>6</v>
      </c>
      <c r="C61" s="34" t="s">
        <v>6</v>
      </c>
      <c r="D61" s="34" t="s">
        <v>6</v>
      </c>
      <c r="E61" s="34" t="s">
        <v>6</v>
      </c>
      <c r="F61" s="34" t="s">
        <v>6</v>
      </c>
      <c r="G61" s="34" t="s">
        <v>6</v>
      </c>
      <c r="H61" s="34" t="s">
        <v>6</v>
      </c>
      <c r="I61" s="38">
        <v>0</v>
      </c>
      <c r="J61" s="38">
        <v>0</v>
      </c>
      <c r="K61" s="38">
        <v>0</v>
      </c>
      <c r="L61" s="38">
        <v>0</v>
      </c>
      <c r="M61" s="38">
        <v>0</v>
      </c>
      <c r="N61" s="38">
        <v>0</v>
      </c>
      <c r="O61" s="38">
        <v>0</v>
      </c>
      <c r="P61" s="38">
        <v>0</v>
      </c>
      <c r="Q61" s="38">
        <v>0</v>
      </c>
      <c r="R61" s="38">
        <v>0</v>
      </c>
      <c r="S61" s="38">
        <v>0</v>
      </c>
      <c r="T61" s="38">
        <v>0</v>
      </c>
      <c r="U61" s="38">
        <v>0</v>
      </c>
      <c r="V61" s="38">
        <v>0</v>
      </c>
      <c r="W61" s="35" t="s">
        <v>6</v>
      </c>
      <c r="X61" s="35" t="s">
        <v>6</v>
      </c>
      <c r="Y61" s="35" t="s">
        <v>6</v>
      </c>
      <c r="Z61" s="35" t="s">
        <v>6</v>
      </c>
      <c r="AA61" s="34" t="s">
        <v>6</v>
      </c>
      <c r="AB61" s="34" t="s">
        <v>6</v>
      </c>
    </row>
    <row r="62" spans="1:28" x14ac:dyDescent="0.25">
      <c r="A62" s="35" t="s">
        <v>6</v>
      </c>
      <c r="B62" s="34" t="s">
        <v>6</v>
      </c>
      <c r="C62" s="34" t="s">
        <v>6</v>
      </c>
      <c r="D62" s="34" t="s">
        <v>6</v>
      </c>
      <c r="E62" s="34" t="s">
        <v>6</v>
      </c>
      <c r="F62" s="34" t="s">
        <v>6</v>
      </c>
      <c r="G62" s="34" t="s">
        <v>6</v>
      </c>
      <c r="H62" s="34" t="s">
        <v>6</v>
      </c>
      <c r="I62" s="38">
        <v>0</v>
      </c>
      <c r="J62" s="38">
        <v>0</v>
      </c>
      <c r="K62" s="38">
        <v>0</v>
      </c>
      <c r="L62" s="38">
        <v>0</v>
      </c>
      <c r="M62" s="38">
        <v>0</v>
      </c>
      <c r="N62" s="38">
        <v>0</v>
      </c>
      <c r="O62" s="38">
        <v>0</v>
      </c>
      <c r="P62" s="38">
        <v>0</v>
      </c>
      <c r="Q62" s="38">
        <v>0</v>
      </c>
      <c r="R62" s="38">
        <v>0</v>
      </c>
      <c r="S62" s="38">
        <v>0</v>
      </c>
      <c r="T62" s="38">
        <v>0</v>
      </c>
      <c r="U62" s="38">
        <v>0</v>
      </c>
      <c r="V62" s="38">
        <v>0</v>
      </c>
      <c r="W62" s="35" t="s">
        <v>6</v>
      </c>
      <c r="X62" s="35" t="s">
        <v>6</v>
      </c>
      <c r="Y62" s="35" t="s">
        <v>6</v>
      </c>
      <c r="Z62" s="35" t="s">
        <v>6</v>
      </c>
      <c r="AA62" s="34" t="s">
        <v>6</v>
      </c>
      <c r="AB62" s="34" t="s">
        <v>6</v>
      </c>
    </row>
    <row r="63" spans="1:28" x14ac:dyDescent="0.25">
      <c r="A63" s="35" t="s">
        <v>6</v>
      </c>
      <c r="B63" s="34" t="s">
        <v>6</v>
      </c>
      <c r="C63" s="34" t="s">
        <v>6</v>
      </c>
      <c r="D63" s="34" t="s">
        <v>6</v>
      </c>
      <c r="E63" s="34" t="s">
        <v>6</v>
      </c>
      <c r="F63" s="34" t="s">
        <v>6</v>
      </c>
      <c r="G63" s="34" t="s">
        <v>6</v>
      </c>
      <c r="H63" s="34" t="s">
        <v>6</v>
      </c>
      <c r="I63" s="38">
        <v>0</v>
      </c>
      <c r="J63" s="38">
        <v>0</v>
      </c>
      <c r="K63" s="38">
        <v>0</v>
      </c>
      <c r="L63" s="38">
        <v>0</v>
      </c>
      <c r="M63" s="38">
        <v>0</v>
      </c>
      <c r="N63" s="38">
        <v>0</v>
      </c>
      <c r="O63" s="38">
        <v>0</v>
      </c>
      <c r="P63" s="38">
        <v>0</v>
      </c>
      <c r="Q63" s="38">
        <v>0</v>
      </c>
      <c r="R63" s="38">
        <v>0</v>
      </c>
      <c r="S63" s="38">
        <v>0</v>
      </c>
      <c r="T63" s="38">
        <v>0</v>
      </c>
      <c r="U63" s="38">
        <v>0</v>
      </c>
      <c r="V63" s="38">
        <v>0</v>
      </c>
      <c r="W63" s="35" t="s">
        <v>6</v>
      </c>
      <c r="X63" s="35" t="s">
        <v>6</v>
      </c>
      <c r="Y63" s="35" t="s">
        <v>6</v>
      </c>
      <c r="Z63" s="35" t="s">
        <v>6</v>
      </c>
      <c r="AA63" s="34" t="s">
        <v>6</v>
      </c>
      <c r="AB63" s="34" t="s">
        <v>6</v>
      </c>
    </row>
    <row r="64" spans="1:28" x14ac:dyDescent="0.25">
      <c r="A64" s="35" t="s">
        <v>6</v>
      </c>
      <c r="B64" s="34" t="s">
        <v>6</v>
      </c>
      <c r="C64" s="34" t="s">
        <v>6</v>
      </c>
      <c r="D64" s="34" t="s">
        <v>6</v>
      </c>
      <c r="E64" s="34" t="s">
        <v>6</v>
      </c>
      <c r="F64" s="34" t="s">
        <v>6</v>
      </c>
      <c r="G64" s="34" t="s">
        <v>6</v>
      </c>
      <c r="H64" s="34" t="s">
        <v>6</v>
      </c>
      <c r="I64" s="38">
        <v>0</v>
      </c>
      <c r="J64" s="38">
        <v>0</v>
      </c>
      <c r="K64" s="38">
        <v>0</v>
      </c>
      <c r="L64" s="38">
        <v>0</v>
      </c>
      <c r="M64" s="38">
        <v>0</v>
      </c>
      <c r="N64" s="38">
        <v>0</v>
      </c>
      <c r="O64" s="38">
        <v>0</v>
      </c>
      <c r="P64" s="38">
        <v>0</v>
      </c>
      <c r="Q64" s="38">
        <v>0</v>
      </c>
      <c r="R64" s="38">
        <v>0</v>
      </c>
      <c r="S64" s="38">
        <v>0</v>
      </c>
      <c r="T64" s="38">
        <v>0</v>
      </c>
      <c r="U64" s="38">
        <v>0</v>
      </c>
      <c r="V64" s="38">
        <v>0</v>
      </c>
      <c r="W64" s="35" t="s">
        <v>6</v>
      </c>
      <c r="X64" s="35" t="s">
        <v>6</v>
      </c>
      <c r="Y64" s="35" t="s">
        <v>6</v>
      </c>
      <c r="Z64" s="35" t="s">
        <v>6</v>
      </c>
      <c r="AA64" s="34" t="s">
        <v>6</v>
      </c>
      <c r="AB64" s="34" t="s">
        <v>6</v>
      </c>
    </row>
    <row r="65" spans="1:28" x14ac:dyDescent="0.25">
      <c r="A65" s="35" t="s">
        <v>6</v>
      </c>
      <c r="B65" s="34" t="s">
        <v>6</v>
      </c>
      <c r="C65" s="34" t="s">
        <v>6</v>
      </c>
      <c r="D65" s="34" t="s">
        <v>6</v>
      </c>
      <c r="E65" s="34" t="s">
        <v>6</v>
      </c>
      <c r="F65" s="34" t="s">
        <v>6</v>
      </c>
      <c r="G65" s="34" t="s">
        <v>6</v>
      </c>
      <c r="H65" s="34" t="s">
        <v>6</v>
      </c>
      <c r="I65" s="38">
        <v>0</v>
      </c>
      <c r="J65" s="38">
        <v>0</v>
      </c>
      <c r="K65" s="38">
        <v>0</v>
      </c>
      <c r="L65" s="38">
        <v>0</v>
      </c>
      <c r="M65" s="38">
        <v>0</v>
      </c>
      <c r="N65" s="38">
        <v>0</v>
      </c>
      <c r="O65" s="38">
        <v>0</v>
      </c>
      <c r="P65" s="38">
        <v>0</v>
      </c>
      <c r="Q65" s="38">
        <v>0</v>
      </c>
      <c r="R65" s="38">
        <v>0</v>
      </c>
      <c r="S65" s="38">
        <v>0</v>
      </c>
      <c r="T65" s="38">
        <v>0</v>
      </c>
      <c r="U65" s="38">
        <v>0</v>
      </c>
      <c r="V65" s="38">
        <v>0</v>
      </c>
      <c r="W65" s="35" t="s">
        <v>6</v>
      </c>
      <c r="X65" s="35" t="s">
        <v>6</v>
      </c>
      <c r="Y65" s="35" t="s">
        <v>6</v>
      </c>
      <c r="Z65" s="35" t="s">
        <v>6</v>
      </c>
      <c r="AA65" s="34" t="s">
        <v>6</v>
      </c>
      <c r="AB65" s="34" t="s">
        <v>6</v>
      </c>
    </row>
    <row r="66" spans="1:28" x14ac:dyDescent="0.25">
      <c r="A66" s="35" t="s">
        <v>6</v>
      </c>
      <c r="B66" s="34" t="s">
        <v>6</v>
      </c>
      <c r="C66" s="34" t="s">
        <v>6</v>
      </c>
      <c r="D66" s="34" t="s">
        <v>6</v>
      </c>
      <c r="E66" s="34" t="s">
        <v>6</v>
      </c>
      <c r="F66" s="34" t="s">
        <v>6</v>
      </c>
      <c r="G66" s="34" t="s">
        <v>6</v>
      </c>
      <c r="H66" s="34" t="s">
        <v>6</v>
      </c>
      <c r="I66" s="38">
        <v>0</v>
      </c>
      <c r="J66" s="38">
        <v>0</v>
      </c>
      <c r="K66" s="38">
        <v>0</v>
      </c>
      <c r="L66" s="38">
        <v>0</v>
      </c>
      <c r="M66" s="38">
        <v>0</v>
      </c>
      <c r="N66" s="38">
        <v>0</v>
      </c>
      <c r="O66" s="38">
        <v>0</v>
      </c>
      <c r="P66" s="38">
        <v>0</v>
      </c>
      <c r="Q66" s="38">
        <v>0</v>
      </c>
      <c r="R66" s="38">
        <v>0</v>
      </c>
      <c r="S66" s="38">
        <v>0</v>
      </c>
      <c r="T66" s="38">
        <v>0</v>
      </c>
      <c r="U66" s="38">
        <v>0</v>
      </c>
      <c r="V66" s="38">
        <v>0</v>
      </c>
      <c r="W66" s="35" t="s">
        <v>6</v>
      </c>
      <c r="X66" s="35" t="s">
        <v>6</v>
      </c>
      <c r="Y66" s="35" t="s">
        <v>6</v>
      </c>
      <c r="Z66" s="35" t="s">
        <v>6</v>
      </c>
      <c r="AA66" s="34" t="s">
        <v>6</v>
      </c>
      <c r="AB66" s="34" t="s">
        <v>6</v>
      </c>
    </row>
    <row r="67" spans="1:28" x14ac:dyDescent="0.25">
      <c r="A67" s="35" t="s">
        <v>6</v>
      </c>
      <c r="B67" s="34" t="s">
        <v>6</v>
      </c>
      <c r="C67" s="34" t="s">
        <v>6</v>
      </c>
      <c r="D67" s="34" t="s">
        <v>6</v>
      </c>
      <c r="E67" s="34" t="s">
        <v>6</v>
      </c>
      <c r="F67" s="34" t="s">
        <v>6</v>
      </c>
      <c r="G67" s="34" t="s">
        <v>6</v>
      </c>
      <c r="H67" s="34" t="s">
        <v>6</v>
      </c>
      <c r="I67" s="38">
        <v>0</v>
      </c>
      <c r="J67" s="38">
        <v>0</v>
      </c>
      <c r="K67" s="38">
        <v>0</v>
      </c>
      <c r="L67" s="38">
        <v>0</v>
      </c>
      <c r="M67" s="38">
        <v>0</v>
      </c>
      <c r="N67" s="38">
        <v>0</v>
      </c>
      <c r="O67" s="38">
        <v>0</v>
      </c>
      <c r="P67" s="38">
        <v>0</v>
      </c>
      <c r="Q67" s="38">
        <v>0</v>
      </c>
      <c r="R67" s="38">
        <v>0</v>
      </c>
      <c r="S67" s="38">
        <v>0</v>
      </c>
      <c r="T67" s="38">
        <v>0</v>
      </c>
      <c r="U67" s="38">
        <v>0</v>
      </c>
      <c r="V67" s="38">
        <v>0</v>
      </c>
      <c r="W67" s="35" t="s">
        <v>6</v>
      </c>
      <c r="X67" s="35" t="s">
        <v>6</v>
      </c>
      <c r="Y67" s="35" t="s">
        <v>6</v>
      </c>
      <c r="Z67" s="35" t="s">
        <v>6</v>
      </c>
      <c r="AA67" s="34" t="s">
        <v>6</v>
      </c>
      <c r="AB67" s="34" t="s">
        <v>6</v>
      </c>
    </row>
    <row r="68" spans="1:28" x14ac:dyDescent="0.25">
      <c r="A68" s="35" t="s">
        <v>6</v>
      </c>
      <c r="B68" s="34" t="s">
        <v>6</v>
      </c>
      <c r="C68" s="34" t="s">
        <v>6</v>
      </c>
      <c r="D68" s="34" t="s">
        <v>6</v>
      </c>
      <c r="E68" s="34" t="s">
        <v>6</v>
      </c>
      <c r="F68" s="34" t="s">
        <v>6</v>
      </c>
      <c r="G68" s="34" t="s">
        <v>6</v>
      </c>
      <c r="H68" s="34" t="s">
        <v>6</v>
      </c>
      <c r="I68" s="38">
        <v>0</v>
      </c>
      <c r="J68" s="38">
        <v>0</v>
      </c>
      <c r="K68" s="38">
        <v>0</v>
      </c>
      <c r="L68" s="38">
        <v>0</v>
      </c>
      <c r="M68" s="38">
        <v>0</v>
      </c>
      <c r="N68" s="38">
        <v>0</v>
      </c>
      <c r="O68" s="38">
        <v>0</v>
      </c>
      <c r="P68" s="38">
        <v>0</v>
      </c>
      <c r="Q68" s="38">
        <v>0</v>
      </c>
      <c r="R68" s="38">
        <v>0</v>
      </c>
      <c r="S68" s="38">
        <v>0</v>
      </c>
      <c r="T68" s="38">
        <v>0</v>
      </c>
      <c r="U68" s="38">
        <v>0</v>
      </c>
      <c r="V68" s="38">
        <v>0</v>
      </c>
      <c r="W68" s="35" t="s">
        <v>6</v>
      </c>
      <c r="X68" s="35" t="s">
        <v>6</v>
      </c>
      <c r="Y68" s="35" t="s">
        <v>6</v>
      </c>
      <c r="Z68" s="35" t="s">
        <v>6</v>
      </c>
      <c r="AA68" s="34" t="s">
        <v>6</v>
      </c>
      <c r="AB68" s="34" t="s">
        <v>6</v>
      </c>
    </row>
    <row r="69" spans="1:28" x14ac:dyDescent="0.25">
      <c r="A69" s="35" t="s">
        <v>6</v>
      </c>
      <c r="B69" s="34" t="s">
        <v>6</v>
      </c>
      <c r="C69" s="34" t="s">
        <v>6</v>
      </c>
      <c r="D69" s="34" t="s">
        <v>6</v>
      </c>
      <c r="E69" s="34" t="s">
        <v>6</v>
      </c>
      <c r="F69" s="34" t="s">
        <v>6</v>
      </c>
      <c r="G69" s="34" t="s">
        <v>6</v>
      </c>
      <c r="H69" s="34" t="s">
        <v>6</v>
      </c>
      <c r="I69" s="38">
        <v>0</v>
      </c>
      <c r="J69" s="38">
        <v>0</v>
      </c>
      <c r="K69" s="38">
        <v>0</v>
      </c>
      <c r="L69" s="38">
        <v>0</v>
      </c>
      <c r="M69" s="38">
        <v>0</v>
      </c>
      <c r="N69" s="38">
        <v>0</v>
      </c>
      <c r="O69" s="38">
        <v>0</v>
      </c>
      <c r="P69" s="38">
        <v>0</v>
      </c>
      <c r="Q69" s="38">
        <v>0</v>
      </c>
      <c r="R69" s="38">
        <v>0</v>
      </c>
      <c r="S69" s="38">
        <v>0</v>
      </c>
      <c r="T69" s="38">
        <v>0</v>
      </c>
      <c r="U69" s="38">
        <v>0</v>
      </c>
      <c r="V69" s="38">
        <v>0</v>
      </c>
      <c r="W69" s="35" t="s">
        <v>6</v>
      </c>
      <c r="X69" s="35" t="s">
        <v>6</v>
      </c>
      <c r="Y69" s="35" t="s">
        <v>6</v>
      </c>
      <c r="Z69" s="35" t="s">
        <v>6</v>
      </c>
      <c r="AA69" s="34" t="s">
        <v>6</v>
      </c>
      <c r="AB69" s="34" t="s">
        <v>6</v>
      </c>
    </row>
    <row r="70" spans="1:28" x14ac:dyDescent="0.25">
      <c r="A70" s="35" t="s">
        <v>6</v>
      </c>
      <c r="B70" s="34" t="s">
        <v>6</v>
      </c>
      <c r="C70" s="34" t="s">
        <v>6</v>
      </c>
      <c r="D70" s="34" t="s">
        <v>6</v>
      </c>
      <c r="E70" s="34" t="s">
        <v>6</v>
      </c>
      <c r="F70" s="34" t="s">
        <v>6</v>
      </c>
      <c r="G70" s="34" t="s">
        <v>6</v>
      </c>
      <c r="H70" s="34" t="s">
        <v>6</v>
      </c>
      <c r="I70" s="38">
        <v>0</v>
      </c>
      <c r="J70" s="38">
        <v>0</v>
      </c>
      <c r="K70" s="38">
        <v>0</v>
      </c>
      <c r="L70" s="38">
        <v>0</v>
      </c>
      <c r="M70" s="38">
        <v>0</v>
      </c>
      <c r="N70" s="38">
        <v>0</v>
      </c>
      <c r="O70" s="38">
        <v>0</v>
      </c>
      <c r="P70" s="38">
        <v>0</v>
      </c>
      <c r="Q70" s="38">
        <v>0</v>
      </c>
      <c r="R70" s="38">
        <v>0</v>
      </c>
      <c r="S70" s="38">
        <v>0</v>
      </c>
      <c r="T70" s="38">
        <v>0</v>
      </c>
      <c r="U70" s="38">
        <v>0</v>
      </c>
      <c r="V70" s="38">
        <v>0</v>
      </c>
      <c r="W70" s="35" t="s">
        <v>6</v>
      </c>
      <c r="X70" s="35" t="s">
        <v>6</v>
      </c>
      <c r="Y70" s="35" t="s">
        <v>6</v>
      </c>
      <c r="Z70" s="35" t="s">
        <v>6</v>
      </c>
      <c r="AA70" s="34" t="s">
        <v>6</v>
      </c>
      <c r="AB70" s="34" t="s">
        <v>6</v>
      </c>
    </row>
    <row r="71" spans="1:28" x14ac:dyDescent="0.25">
      <c r="A71" s="35" t="s">
        <v>6</v>
      </c>
      <c r="B71" s="34" t="s">
        <v>6</v>
      </c>
      <c r="C71" s="34" t="s">
        <v>6</v>
      </c>
      <c r="D71" s="34" t="s">
        <v>6</v>
      </c>
      <c r="E71" s="34" t="s">
        <v>6</v>
      </c>
      <c r="F71" s="34" t="s">
        <v>6</v>
      </c>
      <c r="G71" s="34" t="s">
        <v>6</v>
      </c>
      <c r="H71" s="34" t="s">
        <v>6</v>
      </c>
      <c r="I71" s="38">
        <v>0</v>
      </c>
      <c r="J71" s="38">
        <v>0</v>
      </c>
      <c r="K71" s="38">
        <v>0</v>
      </c>
      <c r="L71" s="38">
        <v>0</v>
      </c>
      <c r="M71" s="38">
        <v>0</v>
      </c>
      <c r="N71" s="38">
        <v>0</v>
      </c>
      <c r="O71" s="38">
        <v>0</v>
      </c>
      <c r="P71" s="38">
        <v>0</v>
      </c>
      <c r="Q71" s="38">
        <v>0</v>
      </c>
      <c r="R71" s="38">
        <v>0</v>
      </c>
      <c r="S71" s="38">
        <v>0</v>
      </c>
      <c r="T71" s="38">
        <v>0</v>
      </c>
      <c r="U71" s="38">
        <v>0</v>
      </c>
      <c r="V71" s="38">
        <v>0</v>
      </c>
      <c r="W71" s="35" t="s">
        <v>6</v>
      </c>
      <c r="X71" s="35" t="s">
        <v>6</v>
      </c>
      <c r="Y71" s="35" t="s">
        <v>6</v>
      </c>
      <c r="Z71" s="35" t="s">
        <v>6</v>
      </c>
      <c r="AA71" s="34" t="s">
        <v>6</v>
      </c>
      <c r="AB71" s="34" t="s">
        <v>6</v>
      </c>
    </row>
    <row r="72" spans="1:28" x14ac:dyDescent="0.25">
      <c r="A72" s="35" t="s">
        <v>6</v>
      </c>
      <c r="B72" s="34" t="s">
        <v>6</v>
      </c>
      <c r="C72" s="34" t="s">
        <v>6</v>
      </c>
      <c r="D72" s="34" t="s">
        <v>6</v>
      </c>
      <c r="E72" s="34" t="s">
        <v>6</v>
      </c>
      <c r="F72" s="34" t="s">
        <v>6</v>
      </c>
      <c r="G72" s="34" t="s">
        <v>6</v>
      </c>
      <c r="H72" s="34" t="s">
        <v>6</v>
      </c>
      <c r="I72" s="38">
        <v>0</v>
      </c>
      <c r="J72" s="38">
        <v>0</v>
      </c>
      <c r="K72" s="38">
        <v>0</v>
      </c>
      <c r="L72" s="38">
        <v>0</v>
      </c>
      <c r="M72" s="38">
        <v>0</v>
      </c>
      <c r="N72" s="38">
        <v>0</v>
      </c>
      <c r="O72" s="38">
        <v>0</v>
      </c>
      <c r="P72" s="38">
        <v>0</v>
      </c>
      <c r="Q72" s="38">
        <v>0</v>
      </c>
      <c r="R72" s="38">
        <v>0</v>
      </c>
      <c r="S72" s="38">
        <v>0</v>
      </c>
      <c r="T72" s="38">
        <v>0</v>
      </c>
      <c r="U72" s="38">
        <v>0</v>
      </c>
      <c r="V72" s="38">
        <v>0</v>
      </c>
      <c r="W72" s="35" t="s">
        <v>6</v>
      </c>
      <c r="X72" s="35" t="s">
        <v>6</v>
      </c>
      <c r="Y72" s="35" t="s">
        <v>6</v>
      </c>
      <c r="Z72" s="35" t="s">
        <v>6</v>
      </c>
      <c r="AA72" s="34" t="s">
        <v>6</v>
      </c>
      <c r="AB72" s="34" t="s">
        <v>6</v>
      </c>
    </row>
    <row r="73" spans="1:28" x14ac:dyDescent="0.25">
      <c r="A73" s="35" t="s">
        <v>6</v>
      </c>
      <c r="B73" s="34" t="s">
        <v>6</v>
      </c>
      <c r="C73" s="34" t="s">
        <v>6</v>
      </c>
      <c r="D73" s="34" t="s">
        <v>6</v>
      </c>
      <c r="E73" s="34" t="s">
        <v>6</v>
      </c>
      <c r="F73" s="34" t="s">
        <v>6</v>
      </c>
      <c r="G73" s="34" t="s">
        <v>6</v>
      </c>
      <c r="H73" s="34" t="s">
        <v>6</v>
      </c>
      <c r="I73" s="38">
        <v>0</v>
      </c>
      <c r="J73" s="38">
        <v>0</v>
      </c>
      <c r="K73" s="38">
        <v>0</v>
      </c>
      <c r="L73" s="38">
        <v>0</v>
      </c>
      <c r="M73" s="38">
        <v>0</v>
      </c>
      <c r="N73" s="38">
        <v>0</v>
      </c>
      <c r="O73" s="38">
        <v>0</v>
      </c>
      <c r="P73" s="38">
        <v>0</v>
      </c>
      <c r="Q73" s="38">
        <v>0</v>
      </c>
      <c r="R73" s="38">
        <v>0</v>
      </c>
      <c r="S73" s="38">
        <v>0</v>
      </c>
      <c r="T73" s="38">
        <v>0</v>
      </c>
      <c r="U73" s="38">
        <v>0</v>
      </c>
      <c r="V73" s="38">
        <v>0</v>
      </c>
      <c r="W73" s="35" t="s">
        <v>6</v>
      </c>
      <c r="X73" s="35" t="s">
        <v>6</v>
      </c>
      <c r="Y73" s="35" t="s">
        <v>6</v>
      </c>
      <c r="Z73" s="35" t="s">
        <v>6</v>
      </c>
      <c r="AA73" s="34" t="s">
        <v>6</v>
      </c>
      <c r="AB73" s="34" t="s">
        <v>6</v>
      </c>
    </row>
    <row r="74" spans="1:28" x14ac:dyDescent="0.25">
      <c r="A74" s="35" t="s">
        <v>6</v>
      </c>
      <c r="B74" s="34" t="s">
        <v>6</v>
      </c>
      <c r="C74" s="34" t="s">
        <v>6</v>
      </c>
      <c r="D74" s="34" t="s">
        <v>6</v>
      </c>
      <c r="E74" s="34" t="s">
        <v>6</v>
      </c>
      <c r="F74" s="34" t="s">
        <v>6</v>
      </c>
      <c r="G74" s="34" t="s">
        <v>6</v>
      </c>
      <c r="H74" s="34" t="s">
        <v>6</v>
      </c>
      <c r="I74" s="38">
        <v>0</v>
      </c>
      <c r="J74" s="38">
        <v>0</v>
      </c>
      <c r="K74" s="38">
        <v>0</v>
      </c>
      <c r="L74" s="38">
        <v>0</v>
      </c>
      <c r="M74" s="38">
        <v>0</v>
      </c>
      <c r="N74" s="38">
        <v>0</v>
      </c>
      <c r="O74" s="38">
        <v>0</v>
      </c>
      <c r="P74" s="38">
        <v>0</v>
      </c>
      <c r="Q74" s="38">
        <v>0</v>
      </c>
      <c r="R74" s="38">
        <v>0</v>
      </c>
      <c r="S74" s="38">
        <v>0</v>
      </c>
      <c r="T74" s="38">
        <v>0</v>
      </c>
      <c r="U74" s="38">
        <v>0</v>
      </c>
      <c r="V74" s="38">
        <v>0</v>
      </c>
      <c r="W74" s="35" t="s">
        <v>6</v>
      </c>
      <c r="X74" s="35" t="s">
        <v>6</v>
      </c>
      <c r="Y74" s="35" t="s">
        <v>6</v>
      </c>
      <c r="Z74" s="35" t="s">
        <v>6</v>
      </c>
      <c r="AA74" s="34" t="s">
        <v>6</v>
      </c>
      <c r="AB74" s="34" t="s">
        <v>6</v>
      </c>
    </row>
    <row r="75" spans="1:28" x14ac:dyDescent="0.25">
      <c r="A75" s="35" t="s">
        <v>6</v>
      </c>
      <c r="B75" s="34" t="s">
        <v>6</v>
      </c>
      <c r="C75" s="34" t="s">
        <v>6</v>
      </c>
      <c r="D75" s="34" t="s">
        <v>6</v>
      </c>
      <c r="E75" s="34" t="s">
        <v>6</v>
      </c>
      <c r="F75" s="34" t="s">
        <v>6</v>
      </c>
      <c r="G75" s="34" t="s">
        <v>6</v>
      </c>
      <c r="H75" s="34" t="s">
        <v>6</v>
      </c>
      <c r="I75" s="38">
        <v>0</v>
      </c>
      <c r="J75" s="38">
        <v>0</v>
      </c>
      <c r="K75" s="38">
        <v>0</v>
      </c>
      <c r="L75" s="38">
        <v>0</v>
      </c>
      <c r="M75" s="38">
        <v>0</v>
      </c>
      <c r="N75" s="38">
        <v>0</v>
      </c>
      <c r="O75" s="38">
        <v>0</v>
      </c>
      <c r="P75" s="38">
        <v>0</v>
      </c>
      <c r="Q75" s="38">
        <v>0</v>
      </c>
      <c r="R75" s="38">
        <v>0</v>
      </c>
      <c r="S75" s="38">
        <v>0</v>
      </c>
      <c r="T75" s="38">
        <v>0</v>
      </c>
      <c r="U75" s="38">
        <v>0</v>
      </c>
      <c r="V75" s="38">
        <v>0</v>
      </c>
      <c r="W75" s="35" t="s">
        <v>6</v>
      </c>
      <c r="X75" s="35" t="s">
        <v>6</v>
      </c>
      <c r="Y75" s="35" t="s">
        <v>6</v>
      </c>
      <c r="Z75" s="35" t="s">
        <v>6</v>
      </c>
      <c r="AA75" s="34" t="s">
        <v>6</v>
      </c>
      <c r="AB75" s="34" t="s">
        <v>6</v>
      </c>
    </row>
    <row r="76" spans="1:28" x14ac:dyDescent="0.25">
      <c r="A76" s="35" t="s">
        <v>6</v>
      </c>
      <c r="B76" s="34" t="s">
        <v>6</v>
      </c>
      <c r="C76" s="34" t="s">
        <v>6</v>
      </c>
      <c r="D76" s="34" t="s">
        <v>6</v>
      </c>
      <c r="E76" s="34" t="s">
        <v>6</v>
      </c>
      <c r="F76" s="34" t="s">
        <v>6</v>
      </c>
      <c r="G76" s="34" t="s">
        <v>6</v>
      </c>
      <c r="H76" s="34" t="s">
        <v>6</v>
      </c>
      <c r="I76" s="38">
        <v>0</v>
      </c>
      <c r="J76" s="38">
        <v>0</v>
      </c>
      <c r="K76" s="38">
        <v>0</v>
      </c>
      <c r="L76" s="38">
        <v>0</v>
      </c>
      <c r="M76" s="38">
        <v>0</v>
      </c>
      <c r="N76" s="38">
        <v>0</v>
      </c>
      <c r="O76" s="38">
        <v>0</v>
      </c>
      <c r="P76" s="38">
        <v>0</v>
      </c>
      <c r="Q76" s="38">
        <v>0</v>
      </c>
      <c r="R76" s="38">
        <v>0</v>
      </c>
      <c r="S76" s="38">
        <v>0</v>
      </c>
      <c r="T76" s="38">
        <v>0</v>
      </c>
      <c r="U76" s="38">
        <v>0</v>
      </c>
      <c r="V76" s="38">
        <v>0</v>
      </c>
      <c r="W76" s="35" t="s">
        <v>6</v>
      </c>
      <c r="X76" s="35" t="s">
        <v>6</v>
      </c>
      <c r="Y76" s="35" t="s">
        <v>6</v>
      </c>
      <c r="Z76" s="35" t="s">
        <v>6</v>
      </c>
      <c r="AA76" s="34" t="s">
        <v>6</v>
      </c>
      <c r="AB76" s="34" t="s">
        <v>6</v>
      </c>
    </row>
    <row r="77" spans="1:28" x14ac:dyDescent="0.25">
      <c r="A77" s="35" t="s">
        <v>6</v>
      </c>
      <c r="B77" s="34" t="s">
        <v>6</v>
      </c>
      <c r="C77" s="34" t="s">
        <v>6</v>
      </c>
      <c r="D77" s="34" t="s">
        <v>6</v>
      </c>
      <c r="E77" s="34" t="s">
        <v>6</v>
      </c>
      <c r="F77" s="34" t="s">
        <v>6</v>
      </c>
      <c r="G77" s="34" t="s">
        <v>6</v>
      </c>
      <c r="H77" s="34" t="s">
        <v>6</v>
      </c>
      <c r="I77" s="38">
        <v>0</v>
      </c>
      <c r="J77" s="38">
        <v>0</v>
      </c>
      <c r="K77" s="38">
        <v>0</v>
      </c>
      <c r="L77" s="38">
        <v>0</v>
      </c>
      <c r="M77" s="38">
        <v>0</v>
      </c>
      <c r="N77" s="38">
        <v>0</v>
      </c>
      <c r="O77" s="38">
        <v>0</v>
      </c>
      <c r="P77" s="38">
        <v>0</v>
      </c>
      <c r="Q77" s="38">
        <v>0</v>
      </c>
      <c r="R77" s="38">
        <v>0</v>
      </c>
      <c r="S77" s="38">
        <v>0</v>
      </c>
      <c r="T77" s="38">
        <v>0</v>
      </c>
      <c r="U77" s="38">
        <v>0</v>
      </c>
      <c r="V77" s="38">
        <v>0</v>
      </c>
      <c r="W77" s="35" t="s">
        <v>6</v>
      </c>
      <c r="X77" s="35" t="s">
        <v>6</v>
      </c>
      <c r="Y77" s="35" t="s">
        <v>6</v>
      </c>
      <c r="Z77" s="35" t="s">
        <v>6</v>
      </c>
      <c r="AA77" s="34" t="s">
        <v>6</v>
      </c>
      <c r="AB77" s="34" t="s">
        <v>6</v>
      </c>
    </row>
    <row r="78" spans="1:28" x14ac:dyDescent="0.25">
      <c r="A78" s="35" t="s">
        <v>6</v>
      </c>
      <c r="B78" s="34" t="s">
        <v>6</v>
      </c>
      <c r="C78" s="34" t="s">
        <v>6</v>
      </c>
      <c r="D78" s="34" t="s">
        <v>6</v>
      </c>
      <c r="E78" s="34" t="s">
        <v>6</v>
      </c>
      <c r="F78" s="34" t="s">
        <v>6</v>
      </c>
      <c r="G78" s="34" t="s">
        <v>6</v>
      </c>
      <c r="H78" s="34" t="s">
        <v>6</v>
      </c>
      <c r="I78" s="38">
        <v>0</v>
      </c>
      <c r="J78" s="38">
        <v>0</v>
      </c>
      <c r="K78" s="38">
        <v>0</v>
      </c>
      <c r="L78" s="38">
        <v>0</v>
      </c>
      <c r="M78" s="38">
        <v>0</v>
      </c>
      <c r="N78" s="38">
        <v>0</v>
      </c>
      <c r="O78" s="38">
        <v>0</v>
      </c>
      <c r="P78" s="38">
        <v>0</v>
      </c>
      <c r="Q78" s="38">
        <v>0</v>
      </c>
      <c r="R78" s="38">
        <v>0</v>
      </c>
      <c r="S78" s="38">
        <v>0</v>
      </c>
      <c r="T78" s="38">
        <v>0</v>
      </c>
      <c r="U78" s="38">
        <v>0</v>
      </c>
      <c r="V78" s="38">
        <v>0</v>
      </c>
      <c r="W78" s="35" t="s">
        <v>6</v>
      </c>
      <c r="X78" s="35" t="s">
        <v>6</v>
      </c>
      <c r="Y78" s="35" t="s">
        <v>6</v>
      </c>
      <c r="Z78" s="35" t="s">
        <v>6</v>
      </c>
      <c r="AA78" s="34" t="s">
        <v>6</v>
      </c>
      <c r="AB78" s="34" t="s">
        <v>6</v>
      </c>
    </row>
    <row r="79" spans="1:28" x14ac:dyDescent="0.25">
      <c r="A79" s="35" t="s">
        <v>6</v>
      </c>
      <c r="B79" s="34" t="s">
        <v>6</v>
      </c>
      <c r="C79" s="34" t="s">
        <v>6</v>
      </c>
      <c r="D79" s="34" t="s">
        <v>6</v>
      </c>
      <c r="E79" s="34" t="s">
        <v>6</v>
      </c>
      <c r="F79" s="34" t="s">
        <v>6</v>
      </c>
      <c r="G79" s="34" t="s">
        <v>6</v>
      </c>
      <c r="H79" s="34" t="s">
        <v>6</v>
      </c>
      <c r="I79" s="38">
        <v>0</v>
      </c>
      <c r="J79" s="38">
        <v>0</v>
      </c>
      <c r="K79" s="38">
        <v>0</v>
      </c>
      <c r="L79" s="38">
        <v>0</v>
      </c>
      <c r="M79" s="38">
        <v>0</v>
      </c>
      <c r="N79" s="38">
        <v>0</v>
      </c>
      <c r="O79" s="38">
        <v>0</v>
      </c>
      <c r="P79" s="38">
        <v>0</v>
      </c>
      <c r="Q79" s="38">
        <v>0</v>
      </c>
      <c r="R79" s="38">
        <v>0</v>
      </c>
      <c r="S79" s="38">
        <v>0</v>
      </c>
      <c r="T79" s="38">
        <v>0</v>
      </c>
      <c r="U79" s="38">
        <v>0</v>
      </c>
      <c r="V79" s="38">
        <v>0</v>
      </c>
      <c r="W79" s="35" t="s">
        <v>6</v>
      </c>
      <c r="X79" s="35" t="s">
        <v>6</v>
      </c>
      <c r="Y79" s="35" t="s">
        <v>6</v>
      </c>
      <c r="Z79" s="35" t="s">
        <v>6</v>
      </c>
      <c r="AA79" s="34" t="s">
        <v>6</v>
      </c>
      <c r="AB79" s="34" t="s">
        <v>6</v>
      </c>
    </row>
    <row r="80" spans="1:28" x14ac:dyDescent="0.25">
      <c r="A80" s="35" t="s">
        <v>6</v>
      </c>
      <c r="B80" s="34" t="s">
        <v>6</v>
      </c>
      <c r="C80" s="34" t="s">
        <v>6</v>
      </c>
      <c r="D80" s="34" t="s">
        <v>6</v>
      </c>
      <c r="E80" s="34" t="s">
        <v>6</v>
      </c>
      <c r="F80" s="34" t="s">
        <v>6</v>
      </c>
      <c r="G80" s="34" t="s">
        <v>6</v>
      </c>
      <c r="H80" s="34" t="s">
        <v>6</v>
      </c>
      <c r="I80" s="38">
        <v>0</v>
      </c>
      <c r="J80" s="38">
        <v>0</v>
      </c>
      <c r="K80" s="38">
        <v>0</v>
      </c>
      <c r="L80" s="38">
        <v>0</v>
      </c>
      <c r="M80" s="38">
        <v>0</v>
      </c>
      <c r="N80" s="38">
        <v>0</v>
      </c>
      <c r="O80" s="38">
        <v>0</v>
      </c>
      <c r="P80" s="38">
        <v>0</v>
      </c>
      <c r="Q80" s="38">
        <v>0</v>
      </c>
      <c r="R80" s="38">
        <v>0</v>
      </c>
      <c r="S80" s="38">
        <v>0</v>
      </c>
      <c r="T80" s="38">
        <v>0</v>
      </c>
      <c r="U80" s="38">
        <v>0</v>
      </c>
      <c r="V80" s="38">
        <v>0</v>
      </c>
      <c r="W80" s="35" t="s">
        <v>6</v>
      </c>
      <c r="X80" s="35" t="s">
        <v>6</v>
      </c>
      <c r="Y80" s="35" t="s">
        <v>6</v>
      </c>
      <c r="Z80" s="35" t="s">
        <v>6</v>
      </c>
      <c r="AA80" s="34" t="s">
        <v>6</v>
      </c>
      <c r="AB80" s="34" t="s">
        <v>6</v>
      </c>
    </row>
    <row r="81" spans="1:28" x14ac:dyDescent="0.25">
      <c r="A81" s="35" t="s">
        <v>6</v>
      </c>
      <c r="B81" s="34" t="s">
        <v>6</v>
      </c>
      <c r="C81" s="34" t="s">
        <v>6</v>
      </c>
      <c r="D81" s="34" t="s">
        <v>6</v>
      </c>
      <c r="E81" s="34" t="s">
        <v>6</v>
      </c>
      <c r="F81" s="34" t="s">
        <v>6</v>
      </c>
      <c r="G81" s="34" t="s">
        <v>6</v>
      </c>
      <c r="H81" s="34" t="s">
        <v>6</v>
      </c>
      <c r="I81" s="38">
        <v>0</v>
      </c>
      <c r="J81" s="38">
        <v>0</v>
      </c>
      <c r="K81" s="38">
        <v>0</v>
      </c>
      <c r="L81" s="38">
        <v>0</v>
      </c>
      <c r="M81" s="38">
        <v>0</v>
      </c>
      <c r="N81" s="38">
        <v>0</v>
      </c>
      <c r="O81" s="38">
        <v>0</v>
      </c>
      <c r="P81" s="38">
        <v>0</v>
      </c>
      <c r="Q81" s="38">
        <v>0</v>
      </c>
      <c r="R81" s="38">
        <v>0</v>
      </c>
      <c r="S81" s="38">
        <v>0</v>
      </c>
      <c r="T81" s="38">
        <v>0</v>
      </c>
      <c r="U81" s="38">
        <v>0</v>
      </c>
      <c r="V81" s="38">
        <v>0</v>
      </c>
      <c r="W81" s="35" t="s">
        <v>6</v>
      </c>
      <c r="X81" s="35" t="s">
        <v>6</v>
      </c>
      <c r="Y81" s="35" t="s">
        <v>6</v>
      </c>
      <c r="Z81" s="35" t="s">
        <v>6</v>
      </c>
      <c r="AA81" s="34" t="s">
        <v>6</v>
      </c>
      <c r="AB81" s="34" t="s">
        <v>6</v>
      </c>
    </row>
    <row r="82" spans="1:28" x14ac:dyDescent="0.25">
      <c r="A82" s="35" t="s">
        <v>6</v>
      </c>
      <c r="B82" s="34" t="s">
        <v>6</v>
      </c>
      <c r="C82" s="34" t="s">
        <v>6</v>
      </c>
      <c r="D82" s="34" t="s">
        <v>6</v>
      </c>
      <c r="E82" s="34" t="s">
        <v>6</v>
      </c>
      <c r="F82" s="34" t="s">
        <v>6</v>
      </c>
      <c r="G82" s="34" t="s">
        <v>6</v>
      </c>
      <c r="H82" s="34" t="s">
        <v>6</v>
      </c>
      <c r="I82" s="38">
        <v>0</v>
      </c>
      <c r="J82" s="38">
        <v>0</v>
      </c>
      <c r="K82" s="38">
        <v>0</v>
      </c>
      <c r="L82" s="38">
        <v>0</v>
      </c>
      <c r="M82" s="38">
        <v>0</v>
      </c>
      <c r="N82" s="38">
        <v>0</v>
      </c>
      <c r="O82" s="38">
        <v>0</v>
      </c>
      <c r="P82" s="38">
        <v>0</v>
      </c>
      <c r="Q82" s="38">
        <v>0</v>
      </c>
      <c r="R82" s="38">
        <v>0</v>
      </c>
      <c r="S82" s="38">
        <v>0</v>
      </c>
      <c r="T82" s="38">
        <v>0</v>
      </c>
      <c r="U82" s="38">
        <v>0</v>
      </c>
      <c r="V82" s="38">
        <v>0</v>
      </c>
      <c r="W82" s="35" t="s">
        <v>6</v>
      </c>
      <c r="X82" s="35" t="s">
        <v>6</v>
      </c>
      <c r="Y82" s="35" t="s">
        <v>6</v>
      </c>
      <c r="Z82" s="35" t="s">
        <v>6</v>
      </c>
      <c r="AA82" s="34" t="s">
        <v>6</v>
      </c>
      <c r="AB82" s="34" t="s">
        <v>6</v>
      </c>
    </row>
    <row r="83" spans="1:28" x14ac:dyDescent="0.25">
      <c r="A83" s="35" t="s">
        <v>6</v>
      </c>
      <c r="B83" s="34" t="s">
        <v>6</v>
      </c>
      <c r="C83" s="34" t="s">
        <v>6</v>
      </c>
      <c r="D83" s="34" t="s">
        <v>6</v>
      </c>
      <c r="E83" s="34" t="s">
        <v>6</v>
      </c>
      <c r="F83" s="34" t="s">
        <v>6</v>
      </c>
      <c r="G83" s="34" t="s">
        <v>6</v>
      </c>
      <c r="H83" s="34" t="s">
        <v>6</v>
      </c>
      <c r="I83" s="38">
        <v>0</v>
      </c>
      <c r="J83" s="38">
        <v>0</v>
      </c>
      <c r="K83" s="38">
        <v>0</v>
      </c>
      <c r="L83" s="38">
        <v>0</v>
      </c>
      <c r="M83" s="38">
        <v>0</v>
      </c>
      <c r="N83" s="38">
        <v>0</v>
      </c>
      <c r="O83" s="38">
        <v>0</v>
      </c>
      <c r="P83" s="38">
        <v>0</v>
      </c>
      <c r="Q83" s="38">
        <v>0</v>
      </c>
      <c r="R83" s="38">
        <v>0</v>
      </c>
      <c r="S83" s="38">
        <v>0</v>
      </c>
      <c r="T83" s="38">
        <v>0</v>
      </c>
      <c r="U83" s="38">
        <v>0</v>
      </c>
      <c r="V83" s="38">
        <v>0</v>
      </c>
      <c r="W83" s="35" t="s">
        <v>6</v>
      </c>
      <c r="X83" s="35" t="s">
        <v>6</v>
      </c>
      <c r="Y83" s="35" t="s">
        <v>6</v>
      </c>
      <c r="Z83" s="35" t="s">
        <v>6</v>
      </c>
      <c r="AA83" s="34" t="s">
        <v>6</v>
      </c>
      <c r="AB83" s="34" t="s">
        <v>6</v>
      </c>
    </row>
    <row r="84" spans="1:28" x14ac:dyDescent="0.25">
      <c r="A84" s="35" t="s">
        <v>6</v>
      </c>
      <c r="B84" s="34" t="s">
        <v>6</v>
      </c>
      <c r="C84" s="34" t="s">
        <v>6</v>
      </c>
      <c r="D84" s="34" t="s">
        <v>6</v>
      </c>
      <c r="E84" s="34" t="s">
        <v>6</v>
      </c>
      <c r="F84" s="34" t="s">
        <v>6</v>
      </c>
      <c r="G84" s="34" t="s">
        <v>6</v>
      </c>
      <c r="H84" s="34" t="s">
        <v>6</v>
      </c>
      <c r="I84" s="38">
        <v>0</v>
      </c>
      <c r="J84" s="38">
        <v>0</v>
      </c>
      <c r="K84" s="38">
        <v>0</v>
      </c>
      <c r="L84" s="38">
        <v>0</v>
      </c>
      <c r="M84" s="38">
        <v>0</v>
      </c>
      <c r="N84" s="38">
        <v>0</v>
      </c>
      <c r="O84" s="38">
        <v>0</v>
      </c>
      <c r="P84" s="38">
        <v>0</v>
      </c>
      <c r="Q84" s="38">
        <v>0</v>
      </c>
      <c r="R84" s="38">
        <v>0</v>
      </c>
      <c r="S84" s="38">
        <v>0</v>
      </c>
      <c r="T84" s="38">
        <v>0</v>
      </c>
      <c r="U84" s="38">
        <v>0</v>
      </c>
      <c r="V84" s="38">
        <v>0</v>
      </c>
      <c r="W84" s="35" t="s">
        <v>6</v>
      </c>
      <c r="X84" s="35" t="s">
        <v>6</v>
      </c>
      <c r="Y84" s="35" t="s">
        <v>6</v>
      </c>
      <c r="Z84" s="35" t="s">
        <v>6</v>
      </c>
      <c r="AA84" s="34" t="s">
        <v>6</v>
      </c>
      <c r="AB84" s="34" t="s">
        <v>6</v>
      </c>
    </row>
    <row r="85" spans="1:28" x14ac:dyDescent="0.25">
      <c r="A85" s="35" t="s">
        <v>6</v>
      </c>
      <c r="B85" s="34" t="s">
        <v>6</v>
      </c>
      <c r="C85" s="34" t="s">
        <v>6</v>
      </c>
      <c r="D85" s="34" t="s">
        <v>6</v>
      </c>
      <c r="E85" s="34" t="s">
        <v>6</v>
      </c>
      <c r="F85" s="34" t="s">
        <v>6</v>
      </c>
      <c r="G85" s="34" t="s">
        <v>6</v>
      </c>
      <c r="H85" s="34" t="s">
        <v>6</v>
      </c>
      <c r="I85" s="38">
        <v>0</v>
      </c>
      <c r="J85" s="38">
        <v>0</v>
      </c>
      <c r="K85" s="38">
        <v>0</v>
      </c>
      <c r="L85" s="38">
        <v>0</v>
      </c>
      <c r="M85" s="38">
        <v>0</v>
      </c>
      <c r="N85" s="38">
        <v>0</v>
      </c>
      <c r="O85" s="38">
        <v>0</v>
      </c>
      <c r="P85" s="38">
        <v>0</v>
      </c>
      <c r="Q85" s="38">
        <v>0</v>
      </c>
      <c r="R85" s="38">
        <v>0</v>
      </c>
      <c r="S85" s="38">
        <v>0</v>
      </c>
      <c r="T85" s="38">
        <v>0</v>
      </c>
      <c r="U85" s="38">
        <v>0</v>
      </c>
      <c r="V85" s="38">
        <v>0</v>
      </c>
      <c r="W85" s="35" t="s">
        <v>6</v>
      </c>
      <c r="X85" s="35" t="s">
        <v>6</v>
      </c>
      <c r="Y85" s="35" t="s">
        <v>6</v>
      </c>
      <c r="Z85" s="35" t="s">
        <v>6</v>
      </c>
      <c r="AA85" s="34" t="s">
        <v>6</v>
      </c>
      <c r="AB85" s="34" t="s">
        <v>6</v>
      </c>
    </row>
    <row r="86" spans="1:28" x14ac:dyDescent="0.25">
      <c r="A86" s="35" t="s">
        <v>6</v>
      </c>
      <c r="B86" s="34" t="s">
        <v>6</v>
      </c>
      <c r="C86" s="34" t="s">
        <v>6</v>
      </c>
      <c r="D86" s="34" t="s">
        <v>6</v>
      </c>
      <c r="E86" s="34" t="s">
        <v>6</v>
      </c>
      <c r="F86" s="34" t="s">
        <v>6</v>
      </c>
      <c r="G86" s="34" t="s">
        <v>6</v>
      </c>
      <c r="H86" s="34" t="s">
        <v>6</v>
      </c>
      <c r="I86" s="38">
        <v>0</v>
      </c>
      <c r="J86" s="38">
        <v>0</v>
      </c>
      <c r="K86" s="38">
        <v>0</v>
      </c>
      <c r="L86" s="38">
        <v>0</v>
      </c>
      <c r="M86" s="38">
        <v>0</v>
      </c>
      <c r="N86" s="38">
        <v>0</v>
      </c>
      <c r="O86" s="38">
        <v>0</v>
      </c>
      <c r="P86" s="38">
        <v>0</v>
      </c>
      <c r="Q86" s="38">
        <v>0</v>
      </c>
      <c r="R86" s="38">
        <v>0</v>
      </c>
      <c r="S86" s="38">
        <v>0</v>
      </c>
      <c r="T86" s="38">
        <v>0</v>
      </c>
      <c r="U86" s="38">
        <v>0</v>
      </c>
      <c r="V86" s="38">
        <v>0</v>
      </c>
      <c r="W86" s="35" t="s">
        <v>6</v>
      </c>
      <c r="X86" s="35" t="s">
        <v>6</v>
      </c>
      <c r="Y86" s="35" t="s">
        <v>6</v>
      </c>
      <c r="Z86" s="35" t="s">
        <v>6</v>
      </c>
      <c r="AA86" s="34" t="s">
        <v>6</v>
      </c>
      <c r="AB86" s="34" t="s">
        <v>6</v>
      </c>
    </row>
    <row r="87" spans="1:28" x14ac:dyDescent="0.25">
      <c r="A87" s="35" t="s">
        <v>6</v>
      </c>
      <c r="B87" s="34" t="s">
        <v>6</v>
      </c>
      <c r="C87" s="34" t="s">
        <v>6</v>
      </c>
      <c r="D87" s="34" t="s">
        <v>6</v>
      </c>
      <c r="E87" s="34" t="s">
        <v>6</v>
      </c>
      <c r="F87" s="34" t="s">
        <v>6</v>
      </c>
      <c r="G87" s="34" t="s">
        <v>6</v>
      </c>
      <c r="H87" s="34" t="s">
        <v>6</v>
      </c>
      <c r="I87" s="38">
        <v>0</v>
      </c>
      <c r="J87" s="38">
        <v>0</v>
      </c>
      <c r="K87" s="38">
        <v>0</v>
      </c>
      <c r="L87" s="38">
        <v>0</v>
      </c>
      <c r="M87" s="38">
        <v>0</v>
      </c>
      <c r="N87" s="38">
        <v>0</v>
      </c>
      <c r="O87" s="38">
        <v>0</v>
      </c>
      <c r="P87" s="38">
        <v>0</v>
      </c>
      <c r="Q87" s="38">
        <v>0</v>
      </c>
      <c r="R87" s="38">
        <v>0</v>
      </c>
      <c r="S87" s="38">
        <v>0</v>
      </c>
      <c r="T87" s="38">
        <v>0</v>
      </c>
      <c r="U87" s="38">
        <v>0</v>
      </c>
      <c r="V87" s="38">
        <v>0</v>
      </c>
      <c r="W87" s="35" t="s">
        <v>6</v>
      </c>
      <c r="X87" s="35" t="s">
        <v>6</v>
      </c>
      <c r="Y87" s="35" t="s">
        <v>6</v>
      </c>
      <c r="Z87" s="35" t="s">
        <v>6</v>
      </c>
      <c r="AA87" s="34" t="s">
        <v>6</v>
      </c>
      <c r="AB87" s="34" t="s">
        <v>6</v>
      </c>
    </row>
    <row r="88" spans="1:28" x14ac:dyDescent="0.25">
      <c r="A88" s="35" t="s">
        <v>6</v>
      </c>
      <c r="B88" s="34" t="s">
        <v>6</v>
      </c>
      <c r="C88" s="34" t="s">
        <v>6</v>
      </c>
      <c r="D88" s="34" t="s">
        <v>6</v>
      </c>
      <c r="E88" s="34" t="s">
        <v>6</v>
      </c>
      <c r="F88" s="34" t="s">
        <v>6</v>
      </c>
      <c r="G88" s="34" t="s">
        <v>6</v>
      </c>
      <c r="H88" s="34" t="s">
        <v>6</v>
      </c>
      <c r="I88" s="38">
        <v>0</v>
      </c>
      <c r="J88" s="38">
        <v>0</v>
      </c>
      <c r="K88" s="38">
        <v>0</v>
      </c>
      <c r="L88" s="38">
        <v>0</v>
      </c>
      <c r="M88" s="38">
        <v>0</v>
      </c>
      <c r="N88" s="38">
        <v>0</v>
      </c>
      <c r="O88" s="38">
        <v>0</v>
      </c>
      <c r="P88" s="38">
        <v>0</v>
      </c>
      <c r="Q88" s="38">
        <v>0</v>
      </c>
      <c r="R88" s="38">
        <v>0</v>
      </c>
      <c r="S88" s="38">
        <v>0</v>
      </c>
      <c r="T88" s="38">
        <v>0</v>
      </c>
      <c r="U88" s="38">
        <v>0</v>
      </c>
      <c r="V88" s="38">
        <v>0</v>
      </c>
      <c r="W88" s="35" t="s">
        <v>6</v>
      </c>
      <c r="X88" s="35" t="s">
        <v>6</v>
      </c>
      <c r="Y88" s="35" t="s">
        <v>6</v>
      </c>
      <c r="Z88" s="35" t="s">
        <v>6</v>
      </c>
      <c r="AA88" s="34" t="s">
        <v>6</v>
      </c>
      <c r="AB88" s="34" t="s">
        <v>6</v>
      </c>
    </row>
    <row r="89" spans="1:28" x14ac:dyDescent="0.25">
      <c r="A89" s="35" t="s">
        <v>6</v>
      </c>
      <c r="B89" s="34" t="s">
        <v>6</v>
      </c>
      <c r="C89" s="34" t="s">
        <v>6</v>
      </c>
      <c r="D89" s="34" t="s">
        <v>6</v>
      </c>
      <c r="E89" s="34" t="s">
        <v>6</v>
      </c>
      <c r="F89" s="34" t="s">
        <v>6</v>
      </c>
      <c r="G89" s="34" t="s">
        <v>6</v>
      </c>
      <c r="H89" s="34" t="s">
        <v>6</v>
      </c>
      <c r="I89" s="38">
        <v>0</v>
      </c>
      <c r="J89" s="38">
        <v>0</v>
      </c>
      <c r="K89" s="38">
        <v>0</v>
      </c>
      <c r="L89" s="38">
        <v>0</v>
      </c>
      <c r="M89" s="38">
        <v>0</v>
      </c>
      <c r="N89" s="38">
        <v>0</v>
      </c>
      <c r="O89" s="38">
        <v>0</v>
      </c>
      <c r="P89" s="38">
        <v>0</v>
      </c>
      <c r="Q89" s="38">
        <v>0</v>
      </c>
      <c r="R89" s="38">
        <v>0</v>
      </c>
      <c r="S89" s="38">
        <v>0</v>
      </c>
      <c r="T89" s="38">
        <v>0</v>
      </c>
      <c r="U89" s="38">
        <v>0</v>
      </c>
      <c r="V89" s="38">
        <v>0</v>
      </c>
      <c r="W89" s="35" t="s">
        <v>6</v>
      </c>
      <c r="X89" s="35" t="s">
        <v>6</v>
      </c>
      <c r="Y89" s="35" t="s">
        <v>6</v>
      </c>
      <c r="Z89" s="35" t="s">
        <v>6</v>
      </c>
      <c r="AA89" s="34" t="s">
        <v>6</v>
      </c>
      <c r="AB89" s="34" t="s">
        <v>6</v>
      </c>
    </row>
    <row r="90" spans="1:28" x14ac:dyDescent="0.25">
      <c r="A90" s="35" t="s">
        <v>6</v>
      </c>
      <c r="B90" s="34" t="s">
        <v>6</v>
      </c>
      <c r="C90" s="34" t="s">
        <v>6</v>
      </c>
      <c r="D90" s="34" t="s">
        <v>6</v>
      </c>
      <c r="E90" s="34" t="s">
        <v>6</v>
      </c>
      <c r="F90" s="34" t="s">
        <v>6</v>
      </c>
      <c r="G90" s="34" t="s">
        <v>6</v>
      </c>
      <c r="H90" s="34" t="s">
        <v>6</v>
      </c>
      <c r="I90" s="38">
        <v>0</v>
      </c>
      <c r="J90" s="38">
        <v>0</v>
      </c>
      <c r="K90" s="38">
        <v>0</v>
      </c>
      <c r="L90" s="38">
        <v>0</v>
      </c>
      <c r="M90" s="38">
        <v>0</v>
      </c>
      <c r="N90" s="38">
        <v>0</v>
      </c>
      <c r="O90" s="38">
        <v>0</v>
      </c>
      <c r="P90" s="38">
        <v>0</v>
      </c>
      <c r="Q90" s="38">
        <v>0</v>
      </c>
      <c r="R90" s="38">
        <v>0</v>
      </c>
      <c r="S90" s="38">
        <v>0</v>
      </c>
      <c r="T90" s="38">
        <v>0</v>
      </c>
      <c r="U90" s="38">
        <v>0</v>
      </c>
      <c r="V90" s="38">
        <v>0</v>
      </c>
      <c r="W90" s="35" t="s">
        <v>6</v>
      </c>
      <c r="X90" s="35" t="s">
        <v>6</v>
      </c>
      <c r="Y90" s="35" t="s">
        <v>6</v>
      </c>
      <c r="Z90" s="35" t="s">
        <v>6</v>
      </c>
      <c r="AA90" s="34" t="s">
        <v>6</v>
      </c>
      <c r="AB90" s="34" t="s">
        <v>6</v>
      </c>
    </row>
    <row r="91" spans="1:28" x14ac:dyDescent="0.25">
      <c r="A91" s="35" t="s">
        <v>6</v>
      </c>
      <c r="B91" s="34" t="s">
        <v>6</v>
      </c>
      <c r="C91" s="34" t="s">
        <v>6</v>
      </c>
      <c r="D91" s="34" t="s">
        <v>6</v>
      </c>
      <c r="E91" s="34" t="s">
        <v>6</v>
      </c>
      <c r="F91" s="34" t="s">
        <v>6</v>
      </c>
      <c r="G91" s="34" t="s">
        <v>6</v>
      </c>
      <c r="H91" s="34" t="s">
        <v>6</v>
      </c>
      <c r="I91" s="38">
        <v>0</v>
      </c>
      <c r="J91" s="38">
        <v>0</v>
      </c>
      <c r="K91" s="38">
        <v>0</v>
      </c>
      <c r="L91" s="38">
        <v>0</v>
      </c>
      <c r="M91" s="38">
        <v>0</v>
      </c>
      <c r="N91" s="38">
        <v>0</v>
      </c>
      <c r="O91" s="38">
        <v>0</v>
      </c>
      <c r="P91" s="38">
        <v>0</v>
      </c>
      <c r="Q91" s="38">
        <v>0</v>
      </c>
      <c r="R91" s="38">
        <v>0</v>
      </c>
      <c r="S91" s="38">
        <v>0</v>
      </c>
      <c r="T91" s="38">
        <v>0</v>
      </c>
      <c r="U91" s="38">
        <v>0</v>
      </c>
      <c r="V91" s="38">
        <v>0</v>
      </c>
      <c r="W91" s="35" t="s">
        <v>6</v>
      </c>
      <c r="X91" s="35" t="s">
        <v>6</v>
      </c>
      <c r="Y91" s="35" t="s">
        <v>6</v>
      </c>
      <c r="Z91" s="35" t="s">
        <v>6</v>
      </c>
      <c r="AA91" s="34" t="s">
        <v>6</v>
      </c>
      <c r="AB91" s="34" t="s">
        <v>6</v>
      </c>
    </row>
    <row r="92" spans="1:28" x14ac:dyDescent="0.25">
      <c r="A92" s="35" t="s">
        <v>6</v>
      </c>
      <c r="B92" s="34" t="s">
        <v>6</v>
      </c>
      <c r="C92" s="34" t="s">
        <v>6</v>
      </c>
      <c r="D92" s="34" t="s">
        <v>6</v>
      </c>
      <c r="E92" s="34" t="s">
        <v>6</v>
      </c>
      <c r="F92" s="34" t="s">
        <v>6</v>
      </c>
      <c r="G92" s="34" t="s">
        <v>6</v>
      </c>
      <c r="H92" s="34" t="s">
        <v>6</v>
      </c>
      <c r="I92" s="38">
        <v>0</v>
      </c>
      <c r="J92" s="38">
        <v>0</v>
      </c>
      <c r="K92" s="38">
        <v>0</v>
      </c>
      <c r="L92" s="38">
        <v>0</v>
      </c>
      <c r="M92" s="38">
        <v>0</v>
      </c>
      <c r="N92" s="38">
        <v>0</v>
      </c>
      <c r="O92" s="38">
        <v>0</v>
      </c>
      <c r="P92" s="38">
        <v>0</v>
      </c>
      <c r="Q92" s="38">
        <v>0</v>
      </c>
      <c r="R92" s="38">
        <v>0</v>
      </c>
      <c r="S92" s="38">
        <v>0</v>
      </c>
      <c r="T92" s="38">
        <v>0</v>
      </c>
      <c r="U92" s="38">
        <v>0</v>
      </c>
      <c r="V92" s="38">
        <v>0</v>
      </c>
      <c r="W92" s="35" t="s">
        <v>6</v>
      </c>
      <c r="X92" s="35" t="s">
        <v>6</v>
      </c>
      <c r="Y92" s="35" t="s">
        <v>6</v>
      </c>
      <c r="Z92" s="35" t="s">
        <v>6</v>
      </c>
      <c r="AA92" s="34" t="s">
        <v>6</v>
      </c>
      <c r="AB92" s="34" t="s">
        <v>6</v>
      </c>
    </row>
    <row r="93" spans="1:28" x14ac:dyDescent="0.25">
      <c r="A93" s="35" t="s">
        <v>6</v>
      </c>
      <c r="B93" s="34" t="s">
        <v>6</v>
      </c>
      <c r="C93" s="34" t="s">
        <v>6</v>
      </c>
      <c r="D93" s="34" t="s">
        <v>6</v>
      </c>
      <c r="E93" s="34" t="s">
        <v>6</v>
      </c>
      <c r="F93" s="34" t="s">
        <v>6</v>
      </c>
      <c r="G93" s="34" t="s">
        <v>6</v>
      </c>
      <c r="H93" s="34" t="s">
        <v>6</v>
      </c>
      <c r="I93" s="38">
        <v>0</v>
      </c>
      <c r="J93" s="38">
        <v>0</v>
      </c>
      <c r="K93" s="38">
        <v>0</v>
      </c>
      <c r="L93" s="38">
        <v>0</v>
      </c>
      <c r="M93" s="38">
        <v>0</v>
      </c>
      <c r="N93" s="38">
        <v>0</v>
      </c>
      <c r="O93" s="38">
        <v>0</v>
      </c>
      <c r="P93" s="38">
        <v>0</v>
      </c>
      <c r="Q93" s="38">
        <v>0</v>
      </c>
      <c r="R93" s="38">
        <v>0</v>
      </c>
      <c r="S93" s="38">
        <v>0</v>
      </c>
      <c r="T93" s="38">
        <v>0</v>
      </c>
      <c r="U93" s="38">
        <v>0</v>
      </c>
      <c r="V93" s="38">
        <v>0</v>
      </c>
      <c r="W93" s="35" t="s">
        <v>6</v>
      </c>
      <c r="X93" s="35" t="s">
        <v>6</v>
      </c>
      <c r="Y93" s="35" t="s">
        <v>6</v>
      </c>
      <c r="Z93" s="35" t="s">
        <v>6</v>
      </c>
      <c r="AA93" s="34" t="s">
        <v>6</v>
      </c>
      <c r="AB93" s="34" t="s">
        <v>6</v>
      </c>
    </row>
    <row r="94" spans="1:28" x14ac:dyDescent="0.25">
      <c r="A94" s="35" t="s">
        <v>6</v>
      </c>
      <c r="B94" s="34" t="s">
        <v>6</v>
      </c>
      <c r="C94" s="34" t="s">
        <v>6</v>
      </c>
      <c r="D94" s="34" t="s">
        <v>6</v>
      </c>
      <c r="E94" s="34" t="s">
        <v>6</v>
      </c>
      <c r="F94" s="34" t="s">
        <v>6</v>
      </c>
      <c r="G94" s="34" t="s">
        <v>6</v>
      </c>
      <c r="H94" s="34" t="s">
        <v>6</v>
      </c>
      <c r="I94" s="38">
        <v>0</v>
      </c>
      <c r="J94" s="38">
        <v>0</v>
      </c>
      <c r="K94" s="38">
        <v>0</v>
      </c>
      <c r="L94" s="38">
        <v>0</v>
      </c>
      <c r="M94" s="38">
        <v>0</v>
      </c>
      <c r="N94" s="38">
        <v>0</v>
      </c>
      <c r="O94" s="38">
        <v>0</v>
      </c>
      <c r="P94" s="38">
        <v>0</v>
      </c>
      <c r="Q94" s="38">
        <v>0</v>
      </c>
      <c r="R94" s="38">
        <v>0</v>
      </c>
      <c r="S94" s="38">
        <v>0</v>
      </c>
      <c r="T94" s="38">
        <v>0</v>
      </c>
      <c r="U94" s="38">
        <v>0</v>
      </c>
      <c r="V94" s="38">
        <v>0</v>
      </c>
      <c r="W94" s="35" t="s">
        <v>6</v>
      </c>
      <c r="X94" s="35" t="s">
        <v>6</v>
      </c>
      <c r="Y94" s="35" t="s">
        <v>6</v>
      </c>
      <c r="Z94" s="35" t="s">
        <v>6</v>
      </c>
      <c r="AA94" s="34" t="s">
        <v>6</v>
      </c>
      <c r="AB94" s="34" t="s">
        <v>6</v>
      </c>
    </row>
    <row r="95" spans="1:28" x14ac:dyDescent="0.25">
      <c r="A95" s="35" t="s">
        <v>6</v>
      </c>
      <c r="B95" s="34" t="s">
        <v>6</v>
      </c>
      <c r="C95" s="34" t="s">
        <v>6</v>
      </c>
      <c r="D95" s="34" t="s">
        <v>6</v>
      </c>
      <c r="E95" s="34" t="s">
        <v>6</v>
      </c>
      <c r="F95" s="34" t="s">
        <v>6</v>
      </c>
      <c r="G95" s="34" t="s">
        <v>6</v>
      </c>
      <c r="H95" s="34" t="s">
        <v>6</v>
      </c>
      <c r="I95" s="38">
        <v>0</v>
      </c>
      <c r="J95" s="38">
        <v>0</v>
      </c>
      <c r="K95" s="38">
        <v>0</v>
      </c>
      <c r="L95" s="38">
        <v>0</v>
      </c>
      <c r="M95" s="38">
        <v>0</v>
      </c>
      <c r="N95" s="38">
        <v>0</v>
      </c>
      <c r="O95" s="38">
        <v>0</v>
      </c>
      <c r="P95" s="38">
        <v>0</v>
      </c>
      <c r="Q95" s="38">
        <v>0</v>
      </c>
      <c r="R95" s="38">
        <v>0</v>
      </c>
      <c r="S95" s="38">
        <v>0</v>
      </c>
      <c r="T95" s="38">
        <v>0</v>
      </c>
      <c r="U95" s="38">
        <v>0</v>
      </c>
      <c r="V95" s="38">
        <v>0</v>
      </c>
      <c r="W95" s="35" t="s">
        <v>6</v>
      </c>
      <c r="X95" s="35" t="s">
        <v>6</v>
      </c>
      <c r="Y95" s="35" t="s">
        <v>6</v>
      </c>
      <c r="Z95" s="35" t="s">
        <v>6</v>
      </c>
      <c r="AA95" s="34" t="s">
        <v>6</v>
      </c>
      <c r="AB95" s="34" t="s">
        <v>6</v>
      </c>
    </row>
    <row r="96" spans="1:28" x14ac:dyDescent="0.25">
      <c r="A96" s="35" t="s">
        <v>6</v>
      </c>
      <c r="B96" s="34" t="s">
        <v>6</v>
      </c>
      <c r="C96" s="34" t="s">
        <v>6</v>
      </c>
      <c r="D96" s="34" t="s">
        <v>6</v>
      </c>
      <c r="E96" s="34" t="s">
        <v>6</v>
      </c>
      <c r="F96" s="34" t="s">
        <v>6</v>
      </c>
      <c r="G96" s="34" t="s">
        <v>6</v>
      </c>
      <c r="H96" s="34" t="s">
        <v>6</v>
      </c>
      <c r="I96" s="38">
        <v>0</v>
      </c>
      <c r="J96" s="38">
        <v>0</v>
      </c>
      <c r="K96" s="38">
        <v>0</v>
      </c>
      <c r="L96" s="38">
        <v>0</v>
      </c>
      <c r="M96" s="38">
        <v>0</v>
      </c>
      <c r="N96" s="38">
        <v>0</v>
      </c>
      <c r="O96" s="38">
        <v>0</v>
      </c>
      <c r="P96" s="38">
        <v>0</v>
      </c>
      <c r="Q96" s="38">
        <v>0</v>
      </c>
      <c r="R96" s="38">
        <v>0</v>
      </c>
      <c r="S96" s="38">
        <v>0</v>
      </c>
      <c r="T96" s="38">
        <v>0</v>
      </c>
      <c r="U96" s="38">
        <v>0</v>
      </c>
      <c r="V96" s="38">
        <v>0</v>
      </c>
      <c r="W96" s="35" t="s">
        <v>6</v>
      </c>
      <c r="X96" s="35" t="s">
        <v>6</v>
      </c>
      <c r="Y96" s="35" t="s">
        <v>6</v>
      </c>
      <c r="Z96" s="35" t="s">
        <v>6</v>
      </c>
      <c r="AA96" s="34" t="s">
        <v>6</v>
      </c>
      <c r="AB96" s="34" t="s">
        <v>6</v>
      </c>
    </row>
    <row r="97" spans="1:28" x14ac:dyDescent="0.25">
      <c r="A97" s="35" t="s">
        <v>6</v>
      </c>
      <c r="B97" s="34" t="s">
        <v>6</v>
      </c>
      <c r="C97" s="34" t="s">
        <v>6</v>
      </c>
      <c r="D97" s="34" t="s">
        <v>6</v>
      </c>
      <c r="E97" s="34" t="s">
        <v>6</v>
      </c>
      <c r="F97" s="34" t="s">
        <v>6</v>
      </c>
      <c r="G97" s="34" t="s">
        <v>6</v>
      </c>
      <c r="H97" s="34" t="s">
        <v>6</v>
      </c>
      <c r="I97" s="38">
        <v>0</v>
      </c>
      <c r="J97" s="38">
        <v>0</v>
      </c>
      <c r="K97" s="38">
        <v>0</v>
      </c>
      <c r="L97" s="38">
        <v>0</v>
      </c>
      <c r="M97" s="38">
        <v>0</v>
      </c>
      <c r="N97" s="38">
        <v>0</v>
      </c>
      <c r="O97" s="38">
        <v>0</v>
      </c>
      <c r="P97" s="38">
        <v>0</v>
      </c>
      <c r="Q97" s="38">
        <v>0</v>
      </c>
      <c r="R97" s="38">
        <v>0</v>
      </c>
      <c r="S97" s="38">
        <v>0</v>
      </c>
      <c r="T97" s="38">
        <v>0</v>
      </c>
      <c r="U97" s="38">
        <v>0</v>
      </c>
      <c r="V97" s="38">
        <v>0</v>
      </c>
      <c r="W97" s="35" t="s">
        <v>6</v>
      </c>
      <c r="X97" s="35" t="s">
        <v>6</v>
      </c>
      <c r="Y97" s="35" t="s">
        <v>6</v>
      </c>
      <c r="Z97" s="35" t="s">
        <v>6</v>
      </c>
      <c r="AA97" s="34" t="s">
        <v>6</v>
      </c>
      <c r="AB97" s="34" t="s">
        <v>6</v>
      </c>
    </row>
    <row r="98" spans="1:28" x14ac:dyDescent="0.25">
      <c r="A98" s="35" t="s">
        <v>6</v>
      </c>
      <c r="B98" s="34" t="s">
        <v>6</v>
      </c>
      <c r="C98" s="34" t="s">
        <v>6</v>
      </c>
      <c r="D98" s="34" t="s">
        <v>6</v>
      </c>
      <c r="E98" s="34" t="s">
        <v>6</v>
      </c>
      <c r="F98" s="34" t="s">
        <v>6</v>
      </c>
      <c r="G98" s="34" t="s">
        <v>6</v>
      </c>
      <c r="H98" s="34" t="s">
        <v>6</v>
      </c>
      <c r="I98" s="38">
        <v>0</v>
      </c>
      <c r="J98" s="38">
        <v>0</v>
      </c>
      <c r="K98" s="38">
        <v>0</v>
      </c>
      <c r="L98" s="38">
        <v>0</v>
      </c>
      <c r="M98" s="38">
        <v>0</v>
      </c>
      <c r="N98" s="38">
        <v>0</v>
      </c>
      <c r="O98" s="38">
        <v>0</v>
      </c>
      <c r="P98" s="38">
        <v>0</v>
      </c>
      <c r="Q98" s="38">
        <v>0</v>
      </c>
      <c r="R98" s="38">
        <v>0</v>
      </c>
      <c r="S98" s="38">
        <v>0</v>
      </c>
      <c r="T98" s="38">
        <v>0</v>
      </c>
      <c r="U98" s="38">
        <v>0</v>
      </c>
      <c r="V98" s="38">
        <v>0</v>
      </c>
      <c r="W98" s="35" t="s">
        <v>6</v>
      </c>
      <c r="X98" s="35" t="s">
        <v>6</v>
      </c>
      <c r="Y98" s="35" t="s">
        <v>6</v>
      </c>
      <c r="Z98" s="35" t="s">
        <v>6</v>
      </c>
      <c r="AA98" s="34" t="s">
        <v>6</v>
      </c>
      <c r="AB98" s="34" t="s">
        <v>6</v>
      </c>
    </row>
    <row r="99" spans="1:28" x14ac:dyDescent="0.25">
      <c r="A99" s="35" t="s">
        <v>6</v>
      </c>
      <c r="B99" s="34" t="s">
        <v>6</v>
      </c>
      <c r="C99" s="34" t="s">
        <v>6</v>
      </c>
      <c r="D99" s="34" t="s">
        <v>6</v>
      </c>
      <c r="E99" s="34" t="s">
        <v>6</v>
      </c>
      <c r="F99" s="34" t="s">
        <v>6</v>
      </c>
      <c r="G99" s="34" t="s">
        <v>6</v>
      </c>
      <c r="H99" s="34" t="s">
        <v>6</v>
      </c>
      <c r="I99" s="38">
        <v>0</v>
      </c>
      <c r="J99" s="38">
        <v>0</v>
      </c>
      <c r="K99" s="38">
        <v>0</v>
      </c>
      <c r="L99" s="38">
        <v>0</v>
      </c>
      <c r="M99" s="38">
        <v>0</v>
      </c>
      <c r="N99" s="38">
        <v>0</v>
      </c>
      <c r="O99" s="38">
        <v>0</v>
      </c>
      <c r="P99" s="38">
        <v>0</v>
      </c>
      <c r="Q99" s="38">
        <v>0</v>
      </c>
      <c r="R99" s="38">
        <v>0</v>
      </c>
      <c r="S99" s="38">
        <v>0</v>
      </c>
      <c r="T99" s="38">
        <v>0</v>
      </c>
      <c r="U99" s="38">
        <v>0</v>
      </c>
      <c r="V99" s="38">
        <v>0</v>
      </c>
      <c r="W99" s="35" t="s">
        <v>6</v>
      </c>
      <c r="X99" s="35" t="s">
        <v>6</v>
      </c>
      <c r="Y99" s="35" t="s">
        <v>6</v>
      </c>
      <c r="Z99" s="35" t="s">
        <v>6</v>
      </c>
      <c r="AA99" s="34" t="s">
        <v>6</v>
      </c>
      <c r="AB99" s="34" t="s">
        <v>6</v>
      </c>
    </row>
    <row r="100" spans="1:28" x14ac:dyDescent="0.25">
      <c r="A100" s="35" t="s">
        <v>6</v>
      </c>
      <c r="B100" s="34" t="s">
        <v>6</v>
      </c>
      <c r="C100" s="34" t="s">
        <v>6</v>
      </c>
      <c r="D100" s="34" t="s">
        <v>6</v>
      </c>
      <c r="E100" s="34" t="s">
        <v>6</v>
      </c>
      <c r="F100" s="34" t="s">
        <v>6</v>
      </c>
      <c r="G100" s="34" t="s">
        <v>6</v>
      </c>
      <c r="H100" s="34" t="s">
        <v>6</v>
      </c>
      <c r="I100" s="38">
        <v>0</v>
      </c>
      <c r="J100" s="38">
        <v>0</v>
      </c>
      <c r="K100" s="38">
        <v>0</v>
      </c>
      <c r="L100" s="38">
        <v>0</v>
      </c>
      <c r="M100" s="38">
        <v>0</v>
      </c>
      <c r="N100" s="38">
        <v>0</v>
      </c>
      <c r="O100" s="38">
        <v>0</v>
      </c>
      <c r="P100" s="38">
        <v>0</v>
      </c>
      <c r="Q100" s="38">
        <v>0</v>
      </c>
      <c r="R100" s="38">
        <v>0</v>
      </c>
      <c r="S100" s="38">
        <v>0</v>
      </c>
      <c r="T100" s="38">
        <v>0</v>
      </c>
      <c r="U100" s="38">
        <v>0</v>
      </c>
      <c r="V100" s="38">
        <v>0</v>
      </c>
      <c r="W100" s="35" t="s">
        <v>6</v>
      </c>
      <c r="X100" s="35" t="s">
        <v>6</v>
      </c>
      <c r="Y100" s="35" t="s">
        <v>6</v>
      </c>
      <c r="Z100" s="35" t="s">
        <v>6</v>
      </c>
      <c r="AA100" s="34" t="s">
        <v>6</v>
      </c>
      <c r="AB100" s="34" t="s">
        <v>6</v>
      </c>
    </row>
    <row r="101" spans="1:28" x14ac:dyDescent="0.25">
      <c r="A101" s="35" t="s">
        <v>6</v>
      </c>
      <c r="B101" s="34" t="s">
        <v>6</v>
      </c>
      <c r="C101" s="34" t="s">
        <v>6</v>
      </c>
      <c r="D101" s="34" t="s">
        <v>6</v>
      </c>
      <c r="E101" s="34" t="s">
        <v>6</v>
      </c>
      <c r="F101" s="34" t="s">
        <v>6</v>
      </c>
      <c r="G101" s="34" t="s">
        <v>6</v>
      </c>
      <c r="H101" s="34" t="s">
        <v>6</v>
      </c>
      <c r="I101" s="38">
        <v>0</v>
      </c>
      <c r="J101" s="38">
        <v>0</v>
      </c>
      <c r="K101" s="38">
        <v>0</v>
      </c>
      <c r="L101" s="38">
        <v>0</v>
      </c>
      <c r="M101" s="38">
        <v>0</v>
      </c>
      <c r="N101" s="38">
        <v>0</v>
      </c>
      <c r="O101" s="38">
        <v>0</v>
      </c>
      <c r="P101" s="38">
        <v>0</v>
      </c>
      <c r="Q101" s="38">
        <v>0</v>
      </c>
      <c r="R101" s="38">
        <v>0</v>
      </c>
      <c r="S101" s="38">
        <v>0</v>
      </c>
      <c r="T101" s="38">
        <v>0</v>
      </c>
      <c r="U101" s="38">
        <v>0</v>
      </c>
      <c r="V101" s="38">
        <v>0</v>
      </c>
      <c r="W101" s="35" t="s">
        <v>6</v>
      </c>
      <c r="X101" s="35" t="s">
        <v>6</v>
      </c>
      <c r="Y101" s="35" t="s">
        <v>6</v>
      </c>
      <c r="Z101" s="35" t="s">
        <v>6</v>
      </c>
      <c r="AA101" s="34" t="s">
        <v>6</v>
      </c>
      <c r="AB101" s="34" t="s">
        <v>6</v>
      </c>
    </row>
    <row r="102" spans="1:28" x14ac:dyDescent="0.25">
      <c r="A102" s="35" t="s">
        <v>6</v>
      </c>
      <c r="B102" s="34" t="s">
        <v>6</v>
      </c>
      <c r="C102" s="34" t="s">
        <v>6</v>
      </c>
      <c r="D102" s="34" t="s">
        <v>6</v>
      </c>
      <c r="E102" s="34" t="s">
        <v>6</v>
      </c>
      <c r="F102" s="34" t="s">
        <v>6</v>
      </c>
      <c r="G102" s="34" t="s">
        <v>6</v>
      </c>
      <c r="H102" s="34" t="s">
        <v>6</v>
      </c>
      <c r="I102" s="38">
        <v>0</v>
      </c>
      <c r="J102" s="38">
        <v>0</v>
      </c>
      <c r="K102" s="38">
        <v>0</v>
      </c>
      <c r="L102" s="38">
        <v>0</v>
      </c>
      <c r="M102" s="38">
        <v>0</v>
      </c>
      <c r="N102" s="38">
        <v>0</v>
      </c>
      <c r="O102" s="38">
        <v>0</v>
      </c>
      <c r="P102" s="38">
        <v>0</v>
      </c>
      <c r="Q102" s="38">
        <v>0</v>
      </c>
      <c r="R102" s="38">
        <v>0</v>
      </c>
      <c r="S102" s="38">
        <v>0</v>
      </c>
      <c r="T102" s="38">
        <v>0</v>
      </c>
      <c r="U102" s="38">
        <v>0</v>
      </c>
      <c r="V102" s="38">
        <v>0</v>
      </c>
      <c r="W102" s="35" t="s">
        <v>6</v>
      </c>
      <c r="X102" s="35" t="s">
        <v>6</v>
      </c>
      <c r="Y102" s="35" t="s">
        <v>6</v>
      </c>
      <c r="Z102" s="35" t="s">
        <v>6</v>
      </c>
      <c r="AA102" s="34" t="s">
        <v>6</v>
      </c>
      <c r="AB102" s="34" t="s">
        <v>6</v>
      </c>
    </row>
    <row r="103" spans="1:28" x14ac:dyDescent="0.25">
      <c r="A103" s="35" t="s">
        <v>6</v>
      </c>
      <c r="B103" s="34" t="s">
        <v>6</v>
      </c>
      <c r="C103" s="34" t="s">
        <v>6</v>
      </c>
      <c r="D103" s="34" t="s">
        <v>6</v>
      </c>
      <c r="E103" s="34" t="s">
        <v>6</v>
      </c>
      <c r="F103" s="34" t="s">
        <v>6</v>
      </c>
      <c r="G103" s="34" t="s">
        <v>6</v>
      </c>
      <c r="H103" s="34" t="s">
        <v>6</v>
      </c>
      <c r="I103" s="38">
        <v>0</v>
      </c>
      <c r="J103" s="38">
        <v>0</v>
      </c>
      <c r="K103" s="38">
        <v>0</v>
      </c>
      <c r="L103" s="38">
        <v>0</v>
      </c>
      <c r="M103" s="38">
        <v>0</v>
      </c>
      <c r="N103" s="38">
        <v>0</v>
      </c>
      <c r="O103" s="38">
        <v>0</v>
      </c>
      <c r="P103" s="38">
        <v>0</v>
      </c>
      <c r="Q103" s="38">
        <v>0</v>
      </c>
      <c r="R103" s="38">
        <v>0</v>
      </c>
      <c r="S103" s="38">
        <v>0</v>
      </c>
      <c r="T103" s="38">
        <v>0</v>
      </c>
      <c r="U103" s="38">
        <v>0</v>
      </c>
      <c r="V103" s="38">
        <v>0</v>
      </c>
      <c r="W103" s="35" t="s">
        <v>6</v>
      </c>
      <c r="X103" s="35" t="s">
        <v>6</v>
      </c>
      <c r="Y103" s="35" t="s">
        <v>6</v>
      </c>
      <c r="Z103" s="35" t="s">
        <v>6</v>
      </c>
      <c r="AA103" s="34" t="s">
        <v>6</v>
      </c>
      <c r="AB103" s="34" t="s">
        <v>6</v>
      </c>
    </row>
    <row r="104" spans="1:28" x14ac:dyDescent="0.25">
      <c r="A104" s="35" t="s">
        <v>6</v>
      </c>
      <c r="B104" s="34" t="s">
        <v>6</v>
      </c>
      <c r="C104" s="34" t="s">
        <v>6</v>
      </c>
      <c r="D104" s="34" t="s">
        <v>6</v>
      </c>
      <c r="E104" s="34" t="s">
        <v>6</v>
      </c>
      <c r="F104" s="34" t="s">
        <v>6</v>
      </c>
      <c r="G104" s="34" t="s">
        <v>6</v>
      </c>
      <c r="H104" s="34" t="s">
        <v>6</v>
      </c>
      <c r="I104" s="38">
        <v>0</v>
      </c>
      <c r="J104" s="38">
        <v>0</v>
      </c>
      <c r="K104" s="38">
        <v>0</v>
      </c>
      <c r="L104" s="38">
        <v>0</v>
      </c>
      <c r="M104" s="38">
        <v>0</v>
      </c>
      <c r="N104" s="38">
        <v>0</v>
      </c>
      <c r="O104" s="38">
        <v>0</v>
      </c>
      <c r="P104" s="38">
        <v>0</v>
      </c>
      <c r="Q104" s="38">
        <v>0</v>
      </c>
      <c r="R104" s="38">
        <v>0</v>
      </c>
      <c r="S104" s="38">
        <v>0</v>
      </c>
      <c r="T104" s="38">
        <v>0</v>
      </c>
      <c r="U104" s="38">
        <v>0</v>
      </c>
      <c r="V104" s="38">
        <v>0</v>
      </c>
      <c r="W104" s="35" t="s">
        <v>6</v>
      </c>
      <c r="X104" s="35" t="s">
        <v>6</v>
      </c>
      <c r="Y104" s="35" t="s">
        <v>6</v>
      </c>
      <c r="Z104" s="35" t="s">
        <v>6</v>
      </c>
      <c r="AA104" s="34" t="s">
        <v>6</v>
      </c>
      <c r="AB104" s="34" t="s">
        <v>6</v>
      </c>
    </row>
    <row r="105" spans="1:28" x14ac:dyDescent="0.25">
      <c r="A105" s="35" t="s">
        <v>6</v>
      </c>
      <c r="B105" s="34" t="s">
        <v>6</v>
      </c>
      <c r="C105" s="34" t="s">
        <v>6</v>
      </c>
      <c r="D105" s="34" t="s">
        <v>6</v>
      </c>
      <c r="E105" s="34" t="s">
        <v>6</v>
      </c>
      <c r="F105" s="34" t="s">
        <v>6</v>
      </c>
      <c r="G105" s="34" t="s">
        <v>6</v>
      </c>
      <c r="H105" s="34" t="s">
        <v>6</v>
      </c>
      <c r="I105" s="38">
        <v>0</v>
      </c>
      <c r="J105" s="38">
        <v>0</v>
      </c>
      <c r="K105" s="38">
        <v>0</v>
      </c>
      <c r="L105" s="38">
        <v>0</v>
      </c>
      <c r="M105" s="38">
        <v>0</v>
      </c>
      <c r="N105" s="38">
        <v>0</v>
      </c>
      <c r="O105" s="38">
        <v>0</v>
      </c>
      <c r="P105" s="38">
        <v>0</v>
      </c>
      <c r="Q105" s="38">
        <v>0</v>
      </c>
      <c r="R105" s="38">
        <v>0</v>
      </c>
      <c r="S105" s="38">
        <v>0</v>
      </c>
      <c r="T105" s="38">
        <v>0</v>
      </c>
      <c r="U105" s="38">
        <v>0</v>
      </c>
      <c r="V105" s="38">
        <v>0</v>
      </c>
      <c r="W105" s="35" t="s">
        <v>6</v>
      </c>
      <c r="X105" s="35" t="s">
        <v>6</v>
      </c>
      <c r="Y105" s="35" t="s">
        <v>6</v>
      </c>
      <c r="Z105" s="35" t="s">
        <v>6</v>
      </c>
      <c r="AA105" s="34" t="s">
        <v>6</v>
      </c>
      <c r="AB105" s="34" t="s">
        <v>6</v>
      </c>
    </row>
    <row r="106" spans="1:28" x14ac:dyDescent="0.25">
      <c r="A106" s="35" t="s">
        <v>6</v>
      </c>
      <c r="B106" s="34" t="s">
        <v>6</v>
      </c>
      <c r="C106" s="34" t="s">
        <v>6</v>
      </c>
      <c r="D106" s="34" t="s">
        <v>6</v>
      </c>
      <c r="E106" s="34" t="s">
        <v>6</v>
      </c>
      <c r="F106" s="34" t="s">
        <v>6</v>
      </c>
      <c r="G106" s="34" t="s">
        <v>6</v>
      </c>
      <c r="H106" s="34" t="s">
        <v>6</v>
      </c>
      <c r="I106" s="38">
        <v>0</v>
      </c>
      <c r="J106" s="38">
        <v>0</v>
      </c>
      <c r="K106" s="38">
        <v>0</v>
      </c>
      <c r="L106" s="38">
        <v>0</v>
      </c>
      <c r="M106" s="38">
        <v>0</v>
      </c>
      <c r="N106" s="38">
        <v>0</v>
      </c>
      <c r="O106" s="38">
        <v>0</v>
      </c>
      <c r="P106" s="38">
        <v>0</v>
      </c>
      <c r="Q106" s="38">
        <v>0</v>
      </c>
      <c r="R106" s="38">
        <v>0</v>
      </c>
      <c r="S106" s="38">
        <v>0</v>
      </c>
      <c r="T106" s="38">
        <v>0</v>
      </c>
      <c r="U106" s="38">
        <v>0</v>
      </c>
      <c r="V106" s="38">
        <v>0</v>
      </c>
      <c r="W106" s="35" t="s">
        <v>6</v>
      </c>
      <c r="X106" s="35" t="s">
        <v>6</v>
      </c>
      <c r="Y106" s="35" t="s">
        <v>6</v>
      </c>
      <c r="Z106" s="35" t="s">
        <v>6</v>
      </c>
      <c r="AA106" s="34" t="s">
        <v>6</v>
      </c>
      <c r="AB106" s="34" t="s">
        <v>6</v>
      </c>
    </row>
    <row r="107" spans="1:28" x14ac:dyDescent="0.25">
      <c r="A107" s="35" t="s">
        <v>6</v>
      </c>
      <c r="B107" s="34" t="s">
        <v>6</v>
      </c>
      <c r="C107" s="34" t="s">
        <v>6</v>
      </c>
      <c r="D107" s="34" t="s">
        <v>6</v>
      </c>
      <c r="E107" s="34" t="s">
        <v>6</v>
      </c>
      <c r="F107" s="34" t="s">
        <v>6</v>
      </c>
      <c r="G107" s="34" t="s">
        <v>6</v>
      </c>
      <c r="H107" s="34" t="s">
        <v>6</v>
      </c>
      <c r="I107" s="38">
        <v>0</v>
      </c>
      <c r="J107" s="38">
        <v>0</v>
      </c>
      <c r="K107" s="38">
        <v>0</v>
      </c>
      <c r="L107" s="38">
        <v>0</v>
      </c>
      <c r="M107" s="38">
        <v>0</v>
      </c>
      <c r="N107" s="38">
        <v>0</v>
      </c>
      <c r="O107" s="38">
        <v>0</v>
      </c>
      <c r="P107" s="38">
        <v>0</v>
      </c>
      <c r="Q107" s="38">
        <v>0</v>
      </c>
      <c r="R107" s="38">
        <v>0</v>
      </c>
      <c r="S107" s="38">
        <v>0</v>
      </c>
      <c r="T107" s="38">
        <v>0</v>
      </c>
      <c r="U107" s="38">
        <v>0</v>
      </c>
      <c r="V107" s="38">
        <v>0</v>
      </c>
      <c r="W107" s="35" t="s">
        <v>6</v>
      </c>
      <c r="X107" s="35" t="s">
        <v>6</v>
      </c>
      <c r="Y107" s="35" t="s">
        <v>6</v>
      </c>
      <c r="Z107" s="35" t="s">
        <v>6</v>
      </c>
      <c r="AA107" s="34" t="s">
        <v>6</v>
      </c>
      <c r="AB107" s="34" t="s">
        <v>6</v>
      </c>
    </row>
    <row r="108" spans="1:28" x14ac:dyDescent="0.25">
      <c r="A108" s="35" t="s">
        <v>6</v>
      </c>
      <c r="B108" s="34" t="s">
        <v>6</v>
      </c>
      <c r="C108" s="34" t="s">
        <v>6</v>
      </c>
      <c r="D108" s="34" t="s">
        <v>6</v>
      </c>
      <c r="E108" s="34" t="s">
        <v>6</v>
      </c>
      <c r="F108" s="34" t="s">
        <v>6</v>
      </c>
      <c r="G108" s="34" t="s">
        <v>6</v>
      </c>
      <c r="H108" s="34" t="s">
        <v>6</v>
      </c>
      <c r="I108" s="38">
        <v>0</v>
      </c>
      <c r="J108" s="38">
        <v>0</v>
      </c>
      <c r="K108" s="38">
        <v>0</v>
      </c>
      <c r="L108" s="38">
        <v>0</v>
      </c>
      <c r="M108" s="38">
        <v>0</v>
      </c>
      <c r="N108" s="38">
        <v>0</v>
      </c>
      <c r="O108" s="38">
        <v>0</v>
      </c>
      <c r="P108" s="38">
        <v>0</v>
      </c>
      <c r="Q108" s="38">
        <v>0</v>
      </c>
      <c r="R108" s="38">
        <v>0</v>
      </c>
      <c r="S108" s="38">
        <v>0</v>
      </c>
      <c r="T108" s="38">
        <v>0</v>
      </c>
      <c r="U108" s="38">
        <v>0</v>
      </c>
      <c r="V108" s="38">
        <v>0</v>
      </c>
      <c r="W108" s="35" t="s">
        <v>6</v>
      </c>
      <c r="X108" s="35" t="s">
        <v>6</v>
      </c>
      <c r="Y108" s="35" t="s">
        <v>6</v>
      </c>
      <c r="Z108" s="35" t="s">
        <v>6</v>
      </c>
      <c r="AA108" s="34" t="s">
        <v>6</v>
      </c>
      <c r="AB108" s="34" t="s">
        <v>6</v>
      </c>
    </row>
    <row r="109" spans="1:28" x14ac:dyDescent="0.25">
      <c r="A109" s="35" t="s">
        <v>6</v>
      </c>
      <c r="B109" s="34" t="s">
        <v>6</v>
      </c>
      <c r="C109" s="34" t="s">
        <v>6</v>
      </c>
      <c r="D109" s="34" t="s">
        <v>6</v>
      </c>
      <c r="E109" s="34" t="s">
        <v>6</v>
      </c>
      <c r="F109" s="34" t="s">
        <v>6</v>
      </c>
      <c r="G109" s="34" t="s">
        <v>6</v>
      </c>
      <c r="H109" s="34" t="s">
        <v>6</v>
      </c>
      <c r="I109" s="38">
        <v>0</v>
      </c>
      <c r="J109" s="38">
        <v>0</v>
      </c>
      <c r="K109" s="38">
        <v>0</v>
      </c>
      <c r="L109" s="38">
        <v>0</v>
      </c>
      <c r="M109" s="38">
        <v>0</v>
      </c>
      <c r="N109" s="38">
        <v>0</v>
      </c>
      <c r="O109" s="38">
        <v>0</v>
      </c>
      <c r="P109" s="38">
        <v>0</v>
      </c>
      <c r="Q109" s="38">
        <v>0</v>
      </c>
      <c r="R109" s="38">
        <v>0</v>
      </c>
      <c r="S109" s="38">
        <v>0</v>
      </c>
      <c r="T109" s="38">
        <v>0</v>
      </c>
      <c r="U109" s="38">
        <v>0</v>
      </c>
      <c r="V109" s="38">
        <v>0</v>
      </c>
      <c r="W109" s="35" t="s">
        <v>6</v>
      </c>
      <c r="X109" s="35" t="s">
        <v>6</v>
      </c>
      <c r="Y109" s="35" t="s">
        <v>6</v>
      </c>
      <c r="Z109" s="35" t="s">
        <v>6</v>
      </c>
      <c r="AA109" s="34" t="s">
        <v>6</v>
      </c>
      <c r="AB109" s="34" t="s">
        <v>6</v>
      </c>
    </row>
    <row r="110" spans="1:28" x14ac:dyDescent="0.25">
      <c r="A110" s="35" t="s">
        <v>6</v>
      </c>
      <c r="B110" s="34" t="s">
        <v>6</v>
      </c>
      <c r="C110" s="34" t="s">
        <v>6</v>
      </c>
      <c r="D110" s="34" t="s">
        <v>6</v>
      </c>
      <c r="E110" s="34" t="s">
        <v>6</v>
      </c>
      <c r="F110" s="34" t="s">
        <v>6</v>
      </c>
      <c r="G110" s="34" t="s">
        <v>6</v>
      </c>
      <c r="H110" s="34" t="s">
        <v>6</v>
      </c>
      <c r="I110" s="38">
        <v>0</v>
      </c>
      <c r="J110" s="38">
        <v>0</v>
      </c>
      <c r="K110" s="38">
        <v>0</v>
      </c>
      <c r="L110" s="38">
        <v>0</v>
      </c>
      <c r="M110" s="38">
        <v>0</v>
      </c>
      <c r="N110" s="38">
        <v>0</v>
      </c>
      <c r="O110" s="38">
        <v>0</v>
      </c>
      <c r="P110" s="38">
        <v>0</v>
      </c>
      <c r="Q110" s="38">
        <v>0</v>
      </c>
      <c r="R110" s="38">
        <v>0</v>
      </c>
      <c r="S110" s="38">
        <v>0</v>
      </c>
      <c r="T110" s="38">
        <v>0</v>
      </c>
      <c r="U110" s="38">
        <v>0</v>
      </c>
      <c r="V110" s="38">
        <v>0</v>
      </c>
      <c r="W110" s="35" t="s">
        <v>6</v>
      </c>
      <c r="X110" s="35" t="s">
        <v>6</v>
      </c>
      <c r="Y110" s="35" t="s">
        <v>6</v>
      </c>
      <c r="Z110" s="35" t="s">
        <v>6</v>
      </c>
      <c r="AA110" s="34" t="s">
        <v>6</v>
      </c>
      <c r="AB110" s="34" t="s">
        <v>6</v>
      </c>
    </row>
    <row r="111" spans="1:28" x14ac:dyDescent="0.25">
      <c r="A111" s="35" t="s">
        <v>6</v>
      </c>
      <c r="B111" s="34" t="s">
        <v>6</v>
      </c>
      <c r="C111" s="34" t="s">
        <v>6</v>
      </c>
      <c r="D111" s="34" t="s">
        <v>6</v>
      </c>
      <c r="E111" s="34" t="s">
        <v>6</v>
      </c>
      <c r="F111" s="34" t="s">
        <v>6</v>
      </c>
      <c r="G111" s="34" t="s">
        <v>6</v>
      </c>
      <c r="H111" s="34" t="s">
        <v>6</v>
      </c>
      <c r="I111" s="38">
        <v>0</v>
      </c>
      <c r="J111" s="38">
        <v>0</v>
      </c>
      <c r="K111" s="38">
        <v>0</v>
      </c>
      <c r="L111" s="38">
        <v>0</v>
      </c>
      <c r="M111" s="38">
        <v>0</v>
      </c>
      <c r="N111" s="38">
        <v>0</v>
      </c>
      <c r="O111" s="38">
        <v>0</v>
      </c>
      <c r="P111" s="38">
        <v>0</v>
      </c>
      <c r="Q111" s="38">
        <v>0</v>
      </c>
      <c r="R111" s="38">
        <v>0</v>
      </c>
      <c r="S111" s="38">
        <v>0</v>
      </c>
      <c r="T111" s="38">
        <v>0</v>
      </c>
      <c r="U111" s="38">
        <v>0</v>
      </c>
      <c r="V111" s="38">
        <v>0</v>
      </c>
      <c r="W111" s="35" t="s">
        <v>6</v>
      </c>
      <c r="X111" s="35" t="s">
        <v>6</v>
      </c>
      <c r="Y111" s="35" t="s">
        <v>6</v>
      </c>
      <c r="Z111" s="35" t="s">
        <v>6</v>
      </c>
      <c r="AA111" s="34" t="s">
        <v>6</v>
      </c>
      <c r="AB111" s="34" t="s">
        <v>6</v>
      </c>
    </row>
    <row r="112" spans="1:28" x14ac:dyDescent="0.25">
      <c r="A112" s="35" t="s">
        <v>6</v>
      </c>
      <c r="B112" s="34" t="s">
        <v>6</v>
      </c>
      <c r="C112" s="34" t="s">
        <v>6</v>
      </c>
      <c r="D112" s="34" t="s">
        <v>6</v>
      </c>
      <c r="E112" s="34" t="s">
        <v>6</v>
      </c>
      <c r="F112" s="34" t="s">
        <v>6</v>
      </c>
      <c r="G112" s="34" t="s">
        <v>6</v>
      </c>
      <c r="H112" s="34" t="s">
        <v>6</v>
      </c>
      <c r="I112" s="38">
        <v>0</v>
      </c>
      <c r="J112" s="38">
        <v>0</v>
      </c>
      <c r="K112" s="38">
        <v>0</v>
      </c>
      <c r="L112" s="38">
        <v>0</v>
      </c>
      <c r="M112" s="38">
        <v>0</v>
      </c>
      <c r="N112" s="38">
        <v>0</v>
      </c>
      <c r="O112" s="38">
        <v>0</v>
      </c>
      <c r="P112" s="38">
        <v>0</v>
      </c>
      <c r="Q112" s="38">
        <v>0</v>
      </c>
      <c r="R112" s="38">
        <v>0</v>
      </c>
      <c r="S112" s="38">
        <v>0</v>
      </c>
      <c r="T112" s="38">
        <v>0</v>
      </c>
      <c r="U112" s="38">
        <v>0</v>
      </c>
      <c r="V112" s="38">
        <v>0</v>
      </c>
      <c r="W112" s="35" t="s">
        <v>6</v>
      </c>
      <c r="X112" s="35" t="s">
        <v>6</v>
      </c>
      <c r="Y112" s="35" t="s">
        <v>6</v>
      </c>
      <c r="Z112" s="35" t="s">
        <v>6</v>
      </c>
      <c r="AA112" s="34" t="s">
        <v>6</v>
      </c>
      <c r="AB112" s="34" t="s">
        <v>6</v>
      </c>
    </row>
    <row r="113" spans="1:28" x14ac:dyDescent="0.25">
      <c r="A113" s="35" t="s">
        <v>6</v>
      </c>
      <c r="B113" s="34" t="s">
        <v>6</v>
      </c>
      <c r="C113" s="34" t="s">
        <v>6</v>
      </c>
      <c r="D113" s="34" t="s">
        <v>6</v>
      </c>
      <c r="E113" s="34" t="s">
        <v>6</v>
      </c>
      <c r="F113" s="34" t="s">
        <v>6</v>
      </c>
      <c r="G113" s="34" t="s">
        <v>6</v>
      </c>
      <c r="H113" s="34" t="s">
        <v>6</v>
      </c>
      <c r="I113" s="38">
        <v>0</v>
      </c>
      <c r="J113" s="38">
        <v>0</v>
      </c>
      <c r="K113" s="38">
        <v>0</v>
      </c>
      <c r="L113" s="38">
        <v>0</v>
      </c>
      <c r="M113" s="38">
        <v>0</v>
      </c>
      <c r="N113" s="38">
        <v>0</v>
      </c>
      <c r="O113" s="38">
        <v>0</v>
      </c>
      <c r="P113" s="38">
        <v>0</v>
      </c>
      <c r="Q113" s="38">
        <v>0</v>
      </c>
      <c r="R113" s="38">
        <v>0</v>
      </c>
      <c r="S113" s="38">
        <v>0</v>
      </c>
      <c r="T113" s="38">
        <v>0</v>
      </c>
      <c r="U113" s="38">
        <v>0</v>
      </c>
      <c r="V113" s="38">
        <v>0</v>
      </c>
      <c r="W113" s="35" t="s">
        <v>6</v>
      </c>
      <c r="X113" s="35" t="s">
        <v>6</v>
      </c>
      <c r="Y113" s="35" t="s">
        <v>6</v>
      </c>
      <c r="Z113" s="35" t="s">
        <v>6</v>
      </c>
      <c r="AA113" s="34" t="s">
        <v>6</v>
      </c>
      <c r="AB113" s="34" t="s">
        <v>6</v>
      </c>
    </row>
    <row r="114" spans="1:28" x14ac:dyDescent="0.25">
      <c r="A114" s="35" t="s">
        <v>6</v>
      </c>
      <c r="B114" s="34" t="s">
        <v>6</v>
      </c>
      <c r="C114" s="34" t="s">
        <v>6</v>
      </c>
      <c r="D114" s="34" t="s">
        <v>6</v>
      </c>
      <c r="E114" s="34" t="s">
        <v>6</v>
      </c>
      <c r="F114" s="34" t="s">
        <v>6</v>
      </c>
      <c r="G114" s="34" t="s">
        <v>6</v>
      </c>
      <c r="H114" s="34" t="s">
        <v>6</v>
      </c>
      <c r="I114" s="38">
        <v>0</v>
      </c>
      <c r="J114" s="38">
        <v>0</v>
      </c>
      <c r="K114" s="38">
        <v>0</v>
      </c>
      <c r="L114" s="38">
        <v>0</v>
      </c>
      <c r="M114" s="38">
        <v>0</v>
      </c>
      <c r="N114" s="38">
        <v>0</v>
      </c>
      <c r="O114" s="38">
        <v>0</v>
      </c>
      <c r="P114" s="38">
        <v>0</v>
      </c>
      <c r="Q114" s="38">
        <v>0</v>
      </c>
      <c r="R114" s="38">
        <v>0</v>
      </c>
      <c r="S114" s="38">
        <v>0</v>
      </c>
      <c r="T114" s="38">
        <v>0</v>
      </c>
      <c r="U114" s="38">
        <v>0</v>
      </c>
      <c r="V114" s="38">
        <v>0</v>
      </c>
      <c r="W114" s="35" t="s">
        <v>6</v>
      </c>
      <c r="X114" s="35" t="s">
        <v>6</v>
      </c>
      <c r="Y114" s="35" t="s">
        <v>6</v>
      </c>
      <c r="Z114" s="35" t="s">
        <v>6</v>
      </c>
      <c r="AA114" s="34" t="s">
        <v>6</v>
      </c>
      <c r="AB114" s="34" t="s">
        <v>6</v>
      </c>
    </row>
    <row r="115" spans="1:28" x14ac:dyDescent="0.25">
      <c r="A115" s="35" t="s">
        <v>6</v>
      </c>
      <c r="B115" s="34" t="s">
        <v>6</v>
      </c>
      <c r="C115" s="34" t="s">
        <v>6</v>
      </c>
      <c r="D115" s="34" t="s">
        <v>6</v>
      </c>
      <c r="E115" s="34" t="s">
        <v>6</v>
      </c>
      <c r="F115" s="34" t="s">
        <v>6</v>
      </c>
      <c r="G115" s="34" t="s">
        <v>6</v>
      </c>
      <c r="H115" s="34" t="s">
        <v>6</v>
      </c>
      <c r="I115" s="38">
        <v>0</v>
      </c>
      <c r="J115" s="38">
        <v>0</v>
      </c>
      <c r="K115" s="38">
        <v>0</v>
      </c>
      <c r="L115" s="38">
        <v>0</v>
      </c>
      <c r="M115" s="38">
        <v>0</v>
      </c>
      <c r="N115" s="38">
        <v>0</v>
      </c>
      <c r="O115" s="38">
        <v>0</v>
      </c>
      <c r="P115" s="38">
        <v>0</v>
      </c>
      <c r="Q115" s="38">
        <v>0</v>
      </c>
      <c r="R115" s="38">
        <v>0</v>
      </c>
      <c r="S115" s="38">
        <v>0</v>
      </c>
      <c r="T115" s="38">
        <v>0</v>
      </c>
      <c r="U115" s="38">
        <v>0</v>
      </c>
      <c r="V115" s="38">
        <v>0</v>
      </c>
      <c r="W115" s="35" t="s">
        <v>6</v>
      </c>
      <c r="X115" s="35" t="s">
        <v>6</v>
      </c>
      <c r="Y115" s="35" t="s">
        <v>6</v>
      </c>
      <c r="Z115" s="35" t="s">
        <v>6</v>
      </c>
      <c r="AA115" s="34" t="s">
        <v>6</v>
      </c>
      <c r="AB115" s="34" t="s">
        <v>6</v>
      </c>
    </row>
    <row r="116" spans="1:28" x14ac:dyDescent="0.25">
      <c r="A116" s="35" t="s">
        <v>6</v>
      </c>
      <c r="B116" s="34" t="s">
        <v>6</v>
      </c>
      <c r="C116" s="34" t="s">
        <v>6</v>
      </c>
      <c r="D116" s="34" t="s">
        <v>6</v>
      </c>
      <c r="E116" s="34" t="s">
        <v>6</v>
      </c>
      <c r="F116" s="34" t="s">
        <v>6</v>
      </c>
      <c r="G116" s="34" t="s">
        <v>6</v>
      </c>
      <c r="H116" s="34" t="s">
        <v>6</v>
      </c>
      <c r="I116" s="38">
        <v>0</v>
      </c>
      <c r="J116" s="38">
        <v>0</v>
      </c>
      <c r="K116" s="38">
        <v>0</v>
      </c>
      <c r="L116" s="38">
        <v>0</v>
      </c>
      <c r="M116" s="38">
        <v>0</v>
      </c>
      <c r="N116" s="38">
        <v>0</v>
      </c>
      <c r="O116" s="38">
        <v>0</v>
      </c>
      <c r="P116" s="38">
        <v>0</v>
      </c>
      <c r="Q116" s="38">
        <v>0</v>
      </c>
      <c r="R116" s="38">
        <v>0</v>
      </c>
      <c r="S116" s="38">
        <v>0</v>
      </c>
      <c r="T116" s="38">
        <v>0</v>
      </c>
      <c r="U116" s="38">
        <v>0</v>
      </c>
      <c r="V116" s="38">
        <v>0</v>
      </c>
      <c r="W116" s="35" t="s">
        <v>6</v>
      </c>
      <c r="X116" s="35" t="s">
        <v>6</v>
      </c>
      <c r="Y116" s="35" t="s">
        <v>6</v>
      </c>
      <c r="Z116" s="35" t="s">
        <v>6</v>
      </c>
      <c r="AA116" s="34" t="s">
        <v>6</v>
      </c>
      <c r="AB116" s="34" t="s">
        <v>6</v>
      </c>
    </row>
    <row r="117" spans="1:28" x14ac:dyDescent="0.25">
      <c r="A117" s="35" t="s">
        <v>6</v>
      </c>
      <c r="B117" s="34" t="s">
        <v>6</v>
      </c>
      <c r="C117" s="34" t="s">
        <v>6</v>
      </c>
      <c r="D117" s="34" t="s">
        <v>6</v>
      </c>
      <c r="E117" s="34" t="s">
        <v>6</v>
      </c>
      <c r="F117" s="34" t="s">
        <v>6</v>
      </c>
      <c r="G117" s="34" t="s">
        <v>6</v>
      </c>
      <c r="H117" s="34" t="s">
        <v>6</v>
      </c>
      <c r="I117" s="38">
        <v>0</v>
      </c>
      <c r="J117" s="38">
        <v>0</v>
      </c>
      <c r="K117" s="38">
        <v>0</v>
      </c>
      <c r="L117" s="38">
        <v>0</v>
      </c>
      <c r="M117" s="38">
        <v>0</v>
      </c>
      <c r="N117" s="38">
        <v>0</v>
      </c>
      <c r="O117" s="38">
        <v>0</v>
      </c>
      <c r="P117" s="38">
        <v>0</v>
      </c>
      <c r="Q117" s="38">
        <v>0</v>
      </c>
      <c r="R117" s="38">
        <v>0</v>
      </c>
      <c r="S117" s="38">
        <v>0</v>
      </c>
      <c r="T117" s="38">
        <v>0</v>
      </c>
      <c r="U117" s="38">
        <v>0</v>
      </c>
      <c r="V117" s="38">
        <v>0</v>
      </c>
      <c r="W117" s="35" t="s">
        <v>6</v>
      </c>
      <c r="X117" s="35" t="s">
        <v>6</v>
      </c>
      <c r="Y117" s="35" t="s">
        <v>6</v>
      </c>
      <c r="Z117" s="35" t="s">
        <v>6</v>
      </c>
      <c r="AA117" s="34" t="s">
        <v>6</v>
      </c>
      <c r="AB117" s="34" t="s">
        <v>6</v>
      </c>
    </row>
    <row r="118" spans="1:28" x14ac:dyDescent="0.25">
      <c r="A118" s="35" t="s">
        <v>6</v>
      </c>
      <c r="B118" s="34" t="s">
        <v>6</v>
      </c>
      <c r="C118" s="34" t="s">
        <v>6</v>
      </c>
      <c r="D118" s="34" t="s">
        <v>6</v>
      </c>
      <c r="E118" s="34" t="s">
        <v>6</v>
      </c>
      <c r="F118" s="34" t="s">
        <v>6</v>
      </c>
      <c r="G118" s="34" t="s">
        <v>6</v>
      </c>
      <c r="H118" s="34" t="s">
        <v>6</v>
      </c>
      <c r="I118" s="38">
        <v>0</v>
      </c>
      <c r="J118" s="38">
        <v>0</v>
      </c>
      <c r="K118" s="38">
        <v>0</v>
      </c>
      <c r="L118" s="38">
        <v>0</v>
      </c>
      <c r="M118" s="38">
        <v>0</v>
      </c>
      <c r="N118" s="38">
        <v>0</v>
      </c>
      <c r="O118" s="38">
        <v>0</v>
      </c>
      <c r="P118" s="38">
        <v>0</v>
      </c>
      <c r="Q118" s="38">
        <v>0</v>
      </c>
      <c r="R118" s="38">
        <v>0</v>
      </c>
      <c r="S118" s="38">
        <v>0</v>
      </c>
      <c r="T118" s="38">
        <v>0</v>
      </c>
      <c r="U118" s="38">
        <v>0</v>
      </c>
      <c r="V118" s="38">
        <v>0</v>
      </c>
      <c r="W118" s="35" t="s">
        <v>6</v>
      </c>
      <c r="X118" s="35" t="s">
        <v>6</v>
      </c>
      <c r="Y118" s="35" t="s">
        <v>6</v>
      </c>
      <c r="Z118" s="35" t="s">
        <v>6</v>
      </c>
      <c r="AA118" s="34" t="s">
        <v>6</v>
      </c>
      <c r="AB118" s="34" t="s">
        <v>6</v>
      </c>
    </row>
    <row r="119" spans="1:28" x14ac:dyDescent="0.25">
      <c r="A119" s="35" t="s">
        <v>6</v>
      </c>
      <c r="B119" s="34" t="s">
        <v>6</v>
      </c>
      <c r="C119" s="34" t="s">
        <v>6</v>
      </c>
      <c r="D119" s="34" t="s">
        <v>6</v>
      </c>
      <c r="E119" s="34" t="s">
        <v>6</v>
      </c>
      <c r="F119" s="34" t="s">
        <v>6</v>
      </c>
      <c r="G119" s="34" t="s">
        <v>6</v>
      </c>
      <c r="H119" s="34" t="s">
        <v>6</v>
      </c>
      <c r="I119" s="38">
        <v>0</v>
      </c>
      <c r="J119" s="38">
        <v>0</v>
      </c>
      <c r="K119" s="38">
        <v>0</v>
      </c>
      <c r="L119" s="38">
        <v>0</v>
      </c>
      <c r="M119" s="38">
        <v>0</v>
      </c>
      <c r="N119" s="38">
        <v>0</v>
      </c>
      <c r="O119" s="38">
        <v>0</v>
      </c>
      <c r="P119" s="38">
        <v>0</v>
      </c>
      <c r="Q119" s="38">
        <v>0</v>
      </c>
      <c r="R119" s="38">
        <v>0</v>
      </c>
      <c r="S119" s="38">
        <v>0</v>
      </c>
      <c r="T119" s="38">
        <v>0</v>
      </c>
      <c r="U119" s="38">
        <v>0</v>
      </c>
      <c r="V119" s="38">
        <v>0</v>
      </c>
      <c r="W119" s="35" t="s">
        <v>6</v>
      </c>
      <c r="X119" s="35" t="s">
        <v>6</v>
      </c>
      <c r="Y119" s="35" t="s">
        <v>6</v>
      </c>
      <c r="Z119" s="35" t="s">
        <v>6</v>
      </c>
      <c r="AA119" s="34" t="s">
        <v>6</v>
      </c>
      <c r="AB119" s="34" t="s">
        <v>6</v>
      </c>
    </row>
    <row r="120" spans="1:28" x14ac:dyDescent="0.25">
      <c r="A120" s="35" t="s">
        <v>6</v>
      </c>
      <c r="B120" s="34" t="s">
        <v>6</v>
      </c>
      <c r="C120" s="34" t="s">
        <v>6</v>
      </c>
      <c r="D120" s="34" t="s">
        <v>6</v>
      </c>
      <c r="E120" s="34" t="s">
        <v>6</v>
      </c>
      <c r="F120" s="34" t="s">
        <v>6</v>
      </c>
      <c r="G120" s="34" t="s">
        <v>6</v>
      </c>
      <c r="H120" s="34" t="s">
        <v>6</v>
      </c>
      <c r="I120" s="38">
        <v>0</v>
      </c>
      <c r="J120" s="38">
        <v>0</v>
      </c>
      <c r="K120" s="38">
        <v>0</v>
      </c>
      <c r="L120" s="38">
        <v>0</v>
      </c>
      <c r="M120" s="38">
        <v>0</v>
      </c>
      <c r="N120" s="38">
        <v>0</v>
      </c>
      <c r="O120" s="38">
        <v>0</v>
      </c>
      <c r="P120" s="38">
        <v>0</v>
      </c>
      <c r="Q120" s="38">
        <v>0</v>
      </c>
      <c r="R120" s="38">
        <v>0</v>
      </c>
      <c r="S120" s="38">
        <v>0</v>
      </c>
      <c r="T120" s="38">
        <v>0</v>
      </c>
      <c r="U120" s="38">
        <v>0</v>
      </c>
      <c r="V120" s="38">
        <v>0</v>
      </c>
      <c r="W120" s="35" t="s">
        <v>6</v>
      </c>
      <c r="X120" s="35" t="s">
        <v>6</v>
      </c>
      <c r="Y120" s="35" t="s">
        <v>6</v>
      </c>
      <c r="Z120" s="35" t="s">
        <v>6</v>
      </c>
      <c r="AA120" s="34" t="s">
        <v>6</v>
      </c>
      <c r="AB120" s="34" t="s">
        <v>6</v>
      </c>
    </row>
    <row r="121" spans="1:28" x14ac:dyDescent="0.25">
      <c r="A121" s="35" t="s">
        <v>6</v>
      </c>
      <c r="B121" s="34" t="s">
        <v>6</v>
      </c>
      <c r="C121" s="34" t="s">
        <v>6</v>
      </c>
      <c r="D121" s="34" t="s">
        <v>6</v>
      </c>
      <c r="E121" s="34" t="s">
        <v>6</v>
      </c>
      <c r="F121" s="34" t="s">
        <v>6</v>
      </c>
      <c r="G121" s="34" t="s">
        <v>6</v>
      </c>
      <c r="H121" s="34" t="s">
        <v>6</v>
      </c>
      <c r="I121" s="38">
        <v>0</v>
      </c>
      <c r="J121" s="38">
        <v>0</v>
      </c>
      <c r="K121" s="38">
        <v>0</v>
      </c>
      <c r="L121" s="38">
        <v>0</v>
      </c>
      <c r="M121" s="38">
        <v>0</v>
      </c>
      <c r="N121" s="38">
        <v>0</v>
      </c>
      <c r="O121" s="38">
        <v>0</v>
      </c>
      <c r="P121" s="38">
        <v>0</v>
      </c>
      <c r="Q121" s="38">
        <v>0</v>
      </c>
      <c r="R121" s="38">
        <v>0</v>
      </c>
      <c r="S121" s="38">
        <v>0</v>
      </c>
      <c r="T121" s="38">
        <v>0</v>
      </c>
      <c r="U121" s="38">
        <v>0</v>
      </c>
      <c r="V121" s="38">
        <v>0</v>
      </c>
      <c r="W121" s="35" t="s">
        <v>6</v>
      </c>
      <c r="X121" s="35" t="s">
        <v>6</v>
      </c>
      <c r="Y121" s="35" t="s">
        <v>6</v>
      </c>
      <c r="Z121" s="35" t="s">
        <v>6</v>
      </c>
      <c r="AA121" s="34" t="s">
        <v>6</v>
      </c>
      <c r="AB121" s="34" t="s">
        <v>6</v>
      </c>
    </row>
    <row r="122" spans="1:28" x14ac:dyDescent="0.25">
      <c r="A122" s="35" t="s">
        <v>6</v>
      </c>
      <c r="B122" s="34" t="s">
        <v>6</v>
      </c>
      <c r="C122" s="34" t="s">
        <v>6</v>
      </c>
      <c r="D122" s="34" t="s">
        <v>6</v>
      </c>
      <c r="E122" s="34" t="s">
        <v>6</v>
      </c>
      <c r="F122" s="34" t="s">
        <v>6</v>
      </c>
      <c r="G122" s="34" t="s">
        <v>6</v>
      </c>
      <c r="H122" s="34" t="s">
        <v>6</v>
      </c>
      <c r="I122" s="38">
        <v>0</v>
      </c>
      <c r="J122" s="38">
        <v>0</v>
      </c>
      <c r="K122" s="38">
        <v>0</v>
      </c>
      <c r="L122" s="38">
        <v>0</v>
      </c>
      <c r="M122" s="38">
        <v>0</v>
      </c>
      <c r="N122" s="38">
        <v>0</v>
      </c>
      <c r="O122" s="38">
        <v>0</v>
      </c>
      <c r="P122" s="38">
        <v>0</v>
      </c>
      <c r="Q122" s="38">
        <v>0</v>
      </c>
      <c r="R122" s="38">
        <v>0</v>
      </c>
      <c r="S122" s="38">
        <v>0</v>
      </c>
      <c r="T122" s="38">
        <v>0</v>
      </c>
      <c r="U122" s="38">
        <v>0</v>
      </c>
      <c r="V122" s="38">
        <v>0</v>
      </c>
      <c r="W122" s="35" t="s">
        <v>6</v>
      </c>
      <c r="X122" s="35" t="s">
        <v>6</v>
      </c>
      <c r="Y122" s="35" t="s">
        <v>6</v>
      </c>
      <c r="Z122" s="35" t="s">
        <v>6</v>
      </c>
      <c r="AA122" s="34" t="s">
        <v>6</v>
      </c>
      <c r="AB122" s="34" t="s">
        <v>6</v>
      </c>
    </row>
    <row r="123" spans="1:28" x14ac:dyDescent="0.25">
      <c r="A123" s="35" t="s">
        <v>6</v>
      </c>
      <c r="B123" s="34" t="s">
        <v>6</v>
      </c>
      <c r="C123" s="34" t="s">
        <v>6</v>
      </c>
      <c r="D123" s="34" t="s">
        <v>6</v>
      </c>
      <c r="E123" s="34" t="s">
        <v>6</v>
      </c>
      <c r="F123" s="34" t="s">
        <v>6</v>
      </c>
      <c r="G123" s="34" t="s">
        <v>6</v>
      </c>
      <c r="H123" s="34" t="s">
        <v>6</v>
      </c>
      <c r="I123" s="38">
        <v>0</v>
      </c>
      <c r="J123" s="38">
        <v>0</v>
      </c>
      <c r="K123" s="38">
        <v>0</v>
      </c>
      <c r="L123" s="38">
        <v>0</v>
      </c>
      <c r="M123" s="38">
        <v>0</v>
      </c>
      <c r="N123" s="38">
        <v>0</v>
      </c>
      <c r="O123" s="38">
        <v>0</v>
      </c>
      <c r="P123" s="38">
        <v>0</v>
      </c>
      <c r="Q123" s="38">
        <v>0</v>
      </c>
      <c r="R123" s="38">
        <v>0</v>
      </c>
      <c r="S123" s="38">
        <v>0</v>
      </c>
      <c r="T123" s="38">
        <v>0</v>
      </c>
      <c r="U123" s="38">
        <v>0</v>
      </c>
      <c r="V123" s="38">
        <v>0</v>
      </c>
      <c r="W123" s="35" t="s">
        <v>6</v>
      </c>
      <c r="X123" s="35" t="s">
        <v>6</v>
      </c>
      <c r="Y123" s="35" t="s">
        <v>6</v>
      </c>
      <c r="Z123" s="35" t="s">
        <v>6</v>
      </c>
      <c r="AA123" s="34" t="s">
        <v>6</v>
      </c>
      <c r="AB123" s="34" t="s">
        <v>6</v>
      </c>
    </row>
    <row r="124" spans="1:28" x14ac:dyDescent="0.25">
      <c r="A124" s="35" t="s">
        <v>6</v>
      </c>
      <c r="B124" s="34" t="s">
        <v>6</v>
      </c>
      <c r="C124" s="34" t="s">
        <v>6</v>
      </c>
      <c r="D124" s="34" t="s">
        <v>6</v>
      </c>
      <c r="E124" s="34" t="s">
        <v>6</v>
      </c>
      <c r="F124" s="34" t="s">
        <v>6</v>
      </c>
      <c r="G124" s="34" t="s">
        <v>6</v>
      </c>
      <c r="H124" s="34" t="s">
        <v>6</v>
      </c>
      <c r="I124" s="38">
        <v>0</v>
      </c>
      <c r="J124" s="38">
        <v>0</v>
      </c>
      <c r="K124" s="38">
        <v>0</v>
      </c>
      <c r="L124" s="38">
        <v>0</v>
      </c>
      <c r="M124" s="38">
        <v>0</v>
      </c>
      <c r="N124" s="38">
        <v>0</v>
      </c>
      <c r="O124" s="38">
        <v>0</v>
      </c>
      <c r="P124" s="38">
        <v>0</v>
      </c>
      <c r="Q124" s="38">
        <v>0</v>
      </c>
      <c r="R124" s="38">
        <v>0</v>
      </c>
      <c r="S124" s="38">
        <v>0</v>
      </c>
      <c r="T124" s="38">
        <v>0</v>
      </c>
      <c r="U124" s="38">
        <v>0</v>
      </c>
      <c r="V124" s="38">
        <v>0</v>
      </c>
      <c r="W124" s="35" t="s">
        <v>6</v>
      </c>
      <c r="X124" s="35" t="s">
        <v>6</v>
      </c>
      <c r="Y124" s="35" t="s">
        <v>6</v>
      </c>
      <c r="Z124" s="35" t="s">
        <v>6</v>
      </c>
      <c r="AA124" s="34" t="s">
        <v>6</v>
      </c>
      <c r="AB124" s="34" t="s">
        <v>6</v>
      </c>
    </row>
    <row r="125" spans="1:28" x14ac:dyDescent="0.25">
      <c r="A125" s="35" t="s">
        <v>6</v>
      </c>
      <c r="B125" s="34" t="s">
        <v>6</v>
      </c>
      <c r="C125" s="34" t="s">
        <v>6</v>
      </c>
      <c r="D125" s="34" t="s">
        <v>6</v>
      </c>
      <c r="E125" s="34" t="s">
        <v>6</v>
      </c>
      <c r="F125" s="34" t="s">
        <v>6</v>
      </c>
      <c r="G125" s="34" t="s">
        <v>6</v>
      </c>
      <c r="H125" s="34" t="s">
        <v>6</v>
      </c>
      <c r="I125" s="38">
        <v>0</v>
      </c>
      <c r="J125" s="38">
        <v>0</v>
      </c>
      <c r="K125" s="38">
        <v>0</v>
      </c>
      <c r="L125" s="38">
        <v>0</v>
      </c>
      <c r="M125" s="38">
        <v>0</v>
      </c>
      <c r="N125" s="38">
        <v>0</v>
      </c>
      <c r="O125" s="38">
        <v>0</v>
      </c>
      <c r="P125" s="38">
        <v>0</v>
      </c>
      <c r="Q125" s="38">
        <v>0</v>
      </c>
      <c r="R125" s="38">
        <v>0</v>
      </c>
      <c r="S125" s="38">
        <v>0</v>
      </c>
      <c r="T125" s="38">
        <v>0</v>
      </c>
      <c r="U125" s="38">
        <v>0</v>
      </c>
      <c r="V125" s="38">
        <v>0</v>
      </c>
      <c r="W125" s="35" t="s">
        <v>6</v>
      </c>
      <c r="X125" s="35" t="s">
        <v>6</v>
      </c>
      <c r="Y125" s="35" t="s">
        <v>6</v>
      </c>
      <c r="Z125" s="35" t="s">
        <v>6</v>
      </c>
      <c r="AA125" s="34" t="s">
        <v>6</v>
      </c>
      <c r="AB125" s="34" t="s">
        <v>6</v>
      </c>
    </row>
    <row r="126" spans="1:28" x14ac:dyDescent="0.25">
      <c r="A126" s="35" t="s">
        <v>6</v>
      </c>
      <c r="B126" s="34" t="s">
        <v>6</v>
      </c>
      <c r="C126" s="34" t="s">
        <v>6</v>
      </c>
      <c r="D126" s="34" t="s">
        <v>6</v>
      </c>
      <c r="E126" s="34" t="s">
        <v>6</v>
      </c>
      <c r="F126" s="34" t="s">
        <v>6</v>
      </c>
      <c r="G126" s="34" t="s">
        <v>6</v>
      </c>
      <c r="H126" s="34" t="s">
        <v>6</v>
      </c>
      <c r="I126" s="38">
        <v>0</v>
      </c>
      <c r="J126" s="38">
        <v>0</v>
      </c>
      <c r="K126" s="38">
        <v>0</v>
      </c>
      <c r="L126" s="38">
        <v>0</v>
      </c>
      <c r="M126" s="38">
        <v>0</v>
      </c>
      <c r="N126" s="38">
        <v>0</v>
      </c>
      <c r="O126" s="38">
        <v>0</v>
      </c>
      <c r="P126" s="38">
        <v>0</v>
      </c>
      <c r="Q126" s="38">
        <v>0</v>
      </c>
      <c r="R126" s="38">
        <v>0</v>
      </c>
      <c r="S126" s="38">
        <v>0</v>
      </c>
      <c r="T126" s="38">
        <v>0</v>
      </c>
      <c r="U126" s="38">
        <v>0</v>
      </c>
      <c r="V126" s="38">
        <v>0</v>
      </c>
      <c r="W126" s="35" t="s">
        <v>6</v>
      </c>
      <c r="X126" s="35" t="s">
        <v>6</v>
      </c>
      <c r="Y126" s="35" t="s">
        <v>6</v>
      </c>
      <c r="Z126" s="35" t="s">
        <v>6</v>
      </c>
      <c r="AA126" s="34" t="s">
        <v>6</v>
      </c>
      <c r="AB126" s="34" t="s">
        <v>6</v>
      </c>
    </row>
    <row r="127" spans="1:28" x14ac:dyDescent="0.25">
      <c r="A127" s="35" t="s">
        <v>6</v>
      </c>
      <c r="B127" s="34" t="s">
        <v>6</v>
      </c>
      <c r="C127" s="34" t="s">
        <v>6</v>
      </c>
      <c r="D127" s="34" t="s">
        <v>6</v>
      </c>
      <c r="E127" s="34" t="s">
        <v>6</v>
      </c>
      <c r="F127" s="34" t="s">
        <v>6</v>
      </c>
      <c r="G127" s="34" t="s">
        <v>6</v>
      </c>
      <c r="H127" s="34" t="s">
        <v>6</v>
      </c>
      <c r="I127" s="38">
        <v>0</v>
      </c>
      <c r="J127" s="38">
        <v>0</v>
      </c>
      <c r="K127" s="38">
        <v>0</v>
      </c>
      <c r="L127" s="38">
        <v>0</v>
      </c>
      <c r="M127" s="38">
        <v>0</v>
      </c>
      <c r="N127" s="38">
        <v>0</v>
      </c>
      <c r="O127" s="38">
        <v>0</v>
      </c>
      <c r="P127" s="38">
        <v>0</v>
      </c>
      <c r="Q127" s="38">
        <v>0</v>
      </c>
      <c r="R127" s="38">
        <v>0</v>
      </c>
      <c r="S127" s="38">
        <v>0</v>
      </c>
      <c r="T127" s="38">
        <v>0</v>
      </c>
      <c r="U127" s="38">
        <v>0</v>
      </c>
      <c r="V127" s="38">
        <v>0</v>
      </c>
      <c r="W127" s="35" t="s">
        <v>6</v>
      </c>
      <c r="X127" s="35" t="s">
        <v>6</v>
      </c>
      <c r="Y127" s="35" t="s">
        <v>6</v>
      </c>
      <c r="Z127" s="35" t="s">
        <v>6</v>
      </c>
      <c r="AA127" s="34" t="s">
        <v>6</v>
      </c>
      <c r="AB127" s="34" t="s">
        <v>6</v>
      </c>
    </row>
    <row r="128" spans="1:28" x14ac:dyDescent="0.25">
      <c r="A128" s="35" t="s">
        <v>6</v>
      </c>
      <c r="B128" s="34" t="s">
        <v>6</v>
      </c>
      <c r="C128" s="34" t="s">
        <v>6</v>
      </c>
      <c r="D128" s="34" t="s">
        <v>6</v>
      </c>
      <c r="E128" s="34" t="s">
        <v>6</v>
      </c>
      <c r="F128" s="34" t="s">
        <v>6</v>
      </c>
      <c r="G128" s="34" t="s">
        <v>6</v>
      </c>
      <c r="H128" s="34" t="s">
        <v>6</v>
      </c>
      <c r="I128" s="38">
        <v>0</v>
      </c>
      <c r="J128" s="38">
        <v>0</v>
      </c>
      <c r="K128" s="38">
        <v>0</v>
      </c>
      <c r="L128" s="38">
        <v>0</v>
      </c>
      <c r="M128" s="38">
        <v>0</v>
      </c>
      <c r="N128" s="38">
        <v>0</v>
      </c>
      <c r="O128" s="38">
        <v>0</v>
      </c>
      <c r="P128" s="38">
        <v>0</v>
      </c>
      <c r="Q128" s="38">
        <v>0</v>
      </c>
      <c r="R128" s="38">
        <v>0</v>
      </c>
      <c r="S128" s="38">
        <v>0</v>
      </c>
      <c r="T128" s="38">
        <v>0</v>
      </c>
      <c r="U128" s="38">
        <v>0</v>
      </c>
      <c r="V128" s="38">
        <v>0</v>
      </c>
      <c r="W128" s="35" t="s">
        <v>6</v>
      </c>
      <c r="X128" s="35" t="s">
        <v>6</v>
      </c>
      <c r="Y128" s="35" t="s">
        <v>6</v>
      </c>
      <c r="Z128" s="35" t="s">
        <v>6</v>
      </c>
      <c r="AA128" s="34" t="s">
        <v>6</v>
      </c>
      <c r="AB128" s="34" t="s">
        <v>6</v>
      </c>
    </row>
    <row r="129" spans="1:28" x14ac:dyDescent="0.25">
      <c r="A129" s="35" t="s">
        <v>6</v>
      </c>
      <c r="B129" s="34" t="s">
        <v>6</v>
      </c>
      <c r="C129" s="34" t="s">
        <v>6</v>
      </c>
      <c r="D129" s="34" t="s">
        <v>6</v>
      </c>
      <c r="E129" s="34" t="s">
        <v>6</v>
      </c>
      <c r="F129" s="34" t="s">
        <v>6</v>
      </c>
      <c r="G129" s="34" t="s">
        <v>6</v>
      </c>
      <c r="H129" s="34" t="s">
        <v>6</v>
      </c>
      <c r="I129" s="38">
        <v>0</v>
      </c>
      <c r="J129" s="38">
        <v>0</v>
      </c>
      <c r="K129" s="38">
        <v>0</v>
      </c>
      <c r="L129" s="38">
        <v>0</v>
      </c>
      <c r="M129" s="38">
        <v>0</v>
      </c>
      <c r="N129" s="38">
        <v>0</v>
      </c>
      <c r="O129" s="38">
        <v>0</v>
      </c>
      <c r="P129" s="38">
        <v>0</v>
      </c>
      <c r="Q129" s="38">
        <v>0</v>
      </c>
      <c r="R129" s="38">
        <v>0</v>
      </c>
      <c r="S129" s="38">
        <v>0</v>
      </c>
      <c r="T129" s="38">
        <v>0</v>
      </c>
      <c r="U129" s="38">
        <v>0</v>
      </c>
      <c r="V129" s="38">
        <v>0</v>
      </c>
      <c r="W129" s="35" t="s">
        <v>6</v>
      </c>
      <c r="X129" s="35" t="s">
        <v>6</v>
      </c>
      <c r="Y129" s="35" t="s">
        <v>6</v>
      </c>
      <c r="Z129" s="35" t="s">
        <v>6</v>
      </c>
      <c r="AA129" s="34" t="s">
        <v>6</v>
      </c>
      <c r="AB129" s="34" t="s">
        <v>6</v>
      </c>
    </row>
    <row r="130" spans="1:28" x14ac:dyDescent="0.25">
      <c r="A130" s="35" t="s">
        <v>6</v>
      </c>
      <c r="B130" s="34" t="s">
        <v>6</v>
      </c>
      <c r="C130" s="34" t="s">
        <v>6</v>
      </c>
      <c r="D130" s="34" t="s">
        <v>6</v>
      </c>
      <c r="E130" s="34" t="s">
        <v>6</v>
      </c>
      <c r="F130" s="34" t="s">
        <v>6</v>
      </c>
      <c r="G130" s="34" t="s">
        <v>6</v>
      </c>
      <c r="H130" s="34" t="s">
        <v>6</v>
      </c>
      <c r="I130" s="38">
        <v>0</v>
      </c>
      <c r="J130" s="38">
        <v>0</v>
      </c>
      <c r="K130" s="38">
        <v>0</v>
      </c>
      <c r="L130" s="38">
        <v>0</v>
      </c>
      <c r="M130" s="38">
        <v>0</v>
      </c>
      <c r="N130" s="38">
        <v>0</v>
      </c>
      <c r="O130" s="38">
        <v>0</v>
      </c>
      <c r="P130" s="38">
        <v>0</v>
      </c>
      <c r="Q130" s="38">
        <v>0</v>
      </c>
      <c r="R130" s="38">
        <v>0</v>
      </c>
      <c r="S130" s="38">
        <v>0</v>
      </c>
      <c r="T130" s="38">
        <v>0</v>
      </c>
      <c r="U130" s="38">
        <v>0</v>
      </c>
      <c r="V130" s="38">
        <v>0</v>
      </c>
      <c r="W130" s="35" t="s">
        <v>6</v>
      </c>
      <c r="X130" s="35" t="s">
        <v>6</v>
      </c>
      <c r="Y130" s="35" t="s">
        <v>6</v>
      </c>
      <c r="Z130" s="35" t="s">
        <v>6</v>
      </c>
      <c r="AA130" s="34" t="s">
        <v>6</v>
      </c>
      <c r="AB130" s="34" t="s">
        <v>6</v>
      </c>
    </row>
    <row r="131" spans="1:28" x14ac:dyDescent="0.25">
      <c r="A131" s="35" t="s">
        <v>6</v>
      </c>
      <c r="B131" s="34" t="s">
        <v>6</v>
      </c>
      <c r="C131" s="34" t="s">
        <v>6</v>
      </c>
      <c r="D131" s="34" t="s">
        <v>6</v>
      </c>
      <c r="E131" s="34" t="s">
        <v>6</v>
      </c>
      <c r="F131" s="34" t="s">
        <v>6</v>
      </c>
      <c r="G131" s="34" t="s">
        <v>6</v>
      </c>
      <c r="H131" s="34" t="s">
        <v>6</v>
      </c>
      <c r="I131" s="38">
        <v>0</v>
      </c>
      <c r="J131" s="38">
        <v>0</v>
      </c>
      <c r="K131" s="38">
        <v>0</v>
      </c>
      <c r="L131" s="38">
        <v>0</v>
      </c>
      <c r="M131" s="38">
        <v>0</v>
      </c>
      <c r="N131" s="38">
        <v>0</v>
      </c>
      <c r="O131" s="38">
        <v>0</v>
      </c>
      <c r="P131" s="38">
        <v>0</v>
      </c>
      <c r="Q131" s="38">
        <v>0</v>
      </c>
      <c r="R131" s="38">
        <v>0</v>
      </c>
      <c r="S131" s="38">
        <v>0</v>
      </c>
      <c r="T131" s="38">
        <v>0</v>
      </c>
      <c r="U131" s="38">
        <v>0</v>
      </c>
      <c r="V131" s="38">
        <v>0</v>
      </c>
      <c r="W131" s="35" t="s">
        <v>6</v>
      </c>
      <c r="X131" s="35" t="s">
        <v>6</v>
      </c>
      <c r="Y131" s="35" t="s">
        <v>6</v>
      </c>
      <c r="Z131" s="35" t="s">
        <v>6</v>
      </c>
      <c r="AA131" s="34" t="s">
        <v>6</v>
      </c>
      <c r="AB131" s="34" t="s">
        <v>6</v>
      </c>
    </row>
    <row r="132" spans="1:28" x14ac:dyDescent="0.25">
      <c r="A132" s="35" t="s">
        <v>6</v>
      </c>
      <c r="B132" s="34" t="s">
        <v>6</v>
      </c>
      <c r="C132" s="34" t="s">
        <v>6</v>
      </c>
      <c r="D132" s="34" t="s">
        <v>6</v>
      </c>
      <c r="E132" s="34" t="s">
        <v>6</v>
      </c>
      <c r="F132" s="34" t="s">
        <v>6</v>
      </c>
      <c r="G132" s="34" t="s">
        <v>6</v>
      </c>
      <c r="H132" s="34" t="s">
        <v>6</v>
      </c>
      <c r="I132" s="38">
        <v>0</v>
      </c>
      <c r="J132" s="38">
        <v>0</v>
      </c>
      <c r="K132" s="38">
        <v>0</v>
      </c>
      <c r="L132" s="38">
        <v>0</v>
      </c>
      <c r="M132" s="38">
        <v>0</v>
      </c>
      <c r="N132" s="38">
        <v>0</v>
      </c>
      <c r="O132" s="38">
        <v>0</v>
      </c>
      <c r="P132" s="38">
        <v>0</v>
      </c>
      <c r="Q132" s="38">
        <v>0</v>
      </c>
      <c r="R132" s="38">
        <v>0</v>
      </c>
      <c r="S132" s="38">
        <v>0</v>
      </c>
      <c r="T132" s="38">
        <v>0</v>
      </c>
      <c r="U132" s="38">
        <v>0</v>
      </c>
      <c r="V132" s="38">
        <v>0</v>
      </c>
      <c r="W132" s="35" t="s">
        <v>6</v>
      </c>
      <c r="X132" s="35" t="s">
        <v>6</v>
      </c>
      <c r="Y132" s="35" t="s">
        <v>6</v>
      </c>
      <c r="Z132" s="35" t="s">
        <v>6</v>
      </c>
      <c r="AA132" s="34" t="s">
        <v>6</v>
      </c>
      <c r="AB132" s="34" t="s">
        <v>6</v>
      </c>
    </row>
    <row r="133" spans="1:28" x14ac:dyDescent="0.25">
      <c r="A133" s="35" t="s">
        <v>6</v>
      </c>
      <c r="B133" s="34" t="s">
        <v>6</v>
      </c>
      <c r="C133" s="34" t="s">
        <v>6</v>
      </c>
      <c r="D133" s="34" t="s">
        <v>6</v>
      </c>
      <c r="E133" s="34" t="s">
        <v>6</v>
      </c>
      <c r="F133" s="34" t="s">
        <v>6</v>
      </c>
      <c r="G133" s="34" t="s">
        <v>6</v>
      </c>
      <c r="H133" s="34" t="s">
        <v>6</v>
      </c>
      <c r="I133" s="38">
        <v>0</v>
      </c>
      <c r="J133" s="38">
        <v>0</v>
      </c>
      <c r="K133" s="38">
        <v>0</v>
      </c>
      <c r="L133" s="38">
        <v>0</v>
      </c>
      <c r="M133" s="38">
        <v>0</v>
      </c>
      <c r="N133" s="38">
        <v>0</v>
      </c>
      <c r="O133" s="38">
        <v>0</v>
      </c>
      <c r="P133" s="38">
        <v>0</v>
      </c>
      <c r="Q133" s="38">
        <v>0</v>
      </c>
      <c r="R133" s="38">
        <v>0</v>
      </c>
      <c r="S133" s="38">
        <v>0</v>
      </c>
      <c r="T133" s="38">
        <v>0</v>
      </c>
      <c r="U133" s="38">
        <v>0</v>
      </c>
      <c r="V133" s="38">
        <v>0</v>
      </c>
      <c r="W133" s="35" t="s">
        <v>6</v>
      </c>
      <c r="X133" s="35" t="s">
        <v>6</v>
      </c>
      <c r="Y133" s="35" t="s">
        <v>6</v>
      </c>
      <c r="Z133" s="35" t="s">
        <v>6</v>
      </c>
      <c r="AA133" s="34" t="s">
        <v>6</v>
      </c>
      <c r="AB133" s="34" t="s">
        <v>6</v>
      </c>
    </row>
    <row r="134" spans="1:28" x14ac:dyDescent="0.25">
      <c r="A134" s="35" t="s">
        <v>6</v>
      </c>
      <c r="B134" s="34" t="s">
        <v>6</v>
      </c>
      <c r="C134" s="34" t="s">
        <v>6</v>
      </c>
      <c r="D134" s="34" t="s">
        <v>6</v>
      </c>
      <c r="E134" s="34" t="s">
        <v>6</v>
      </c>
      <c r="F134" s="34" t="s">
        <v>6</v>
      </c>
      <c r="G134" s="34" t="s">
        <v>6</v>
      </c>
      <c r="H134" s="34" t="s">
        <v>6</v>
      </c>
      <c r="I134" s="38">
        <v>0</v>
      </c>
      <c r="J134" s="38">
        <v>0</v>
      </c>
      <c r="K134" s="38">
        <v>0</v>
      </c>
      <c r="L134" s="38">
        <v>0</v>
      </c>
      <c r="M134" s="38">
        <v>0</v>
      </c>
      <c r="N134" s="38">
        <v>0</v>
      </c>
      <c r="O134" s="38">
        <v>0</v>
      </c>
      <c r="P134" s="38">
        <v>0</v>
      </c>
      <c r="Q134" s="38">
        <v>0</v>
      </c>
      <c r="R134" s="38">
        <v>0</v>
      </c>
      <c r="S134" s="38">
        <v>0</v>
      </c>
      <c r="T134" s="38">
        <v>0</v>
      </c>
      <c r="U134" s="38">
        <v>0</v>
      </c>
      <c r="V134" s="38">
        <v>0</v>
      </c>
      <c r="W134" s="35" t="s">
        <v>6</v>
      </c>
      <c r="X134" s="35" t="s">
        <v>6</v>
      </c>
      <c r="Y134" s="35" t="s">
        <v>6</v>
      </c>
      <c r="Z134" s="35" t="s">
        <v>6</v>
      </c>
      <c r="AA134" s="34" t="s">
        <v>6</v>
      </c>
      <c r="AB134" s="34" t="s">
        <v>6</v>
      </c>
    </row>
    <row r="135" spans="1:28" x14ac:dyDescent="0.25">
      <c r="A135" s="35" t="s">
        <v>6</v>
      </c>
      <c r="B135" s="34" t="s">
        <v>6</v>
      </c>
      <c r="C135" s="34" t="s">
        <v>6</v>
      </c>
      <c r="D135" s="34" t="s">
        <v>6</v>
      </c>
      <c r="E135" s="34" t="s">
        <v>6</v>
      </c>
      <c r="F135" s="34" t="s">
        <v>6</v>
      </c>
      <c r="G135" s="34" t="s">
        <v>6</v>
      </c>
      <c r="H135" s="34" t="s">
        <v>6</v>
      </c>
      <c r="I135" s="38">
        <v>0</v>
      </c>
      <c r="J135" s="38">
        <v>0</v>
      </c>
      <c r="K135" s="38">
        <v>0</v>
      </c>
      <c r="L135" s="38">
        <v>0</v>
      </c>
      <c r="M135" s="38">
        <v>0</v>
      </c>
      <c r="N135" s="38">
        <v>0</v>
      </c>
      <c r="O135" s="38">
        <v>0</v>
      </c>
      <c r="P135" s="38">
        <v>0</v>
      </c>
      <c r="Q135" s="38">
        <v>0</v>
      </c>
      <c r="R135" s="38">
        <v>0</v>
      </c>
      <c r="S135" s="38">
        <v>0</v>
      </c>
      <c r="T135" s="38">
        <v>0</v>
      </c>
      <c r="U135" s="38">
        <v>0</v>
      </c>
      <c r="V135" s="38">
        <v>0</v>
      </c>
      <c r="W135" s="35" t="s">
        <v>6</v>
      </c>
      <c r="X135" s="35" t="s">
        <v>6</v>
      </c>
      <c r="Y135" s="35" t="s">
        <v>6</v>
      </c>
      <c r="Z135" s="35" t="s">
        <v>6</v>
      </c>
      <c r="AA135" s="34" t="s">
        <v>6</v>
      </c>
      <c r="AB135" s="34" t="s">
        <v>6</v>
      </c>
    </row>
    <row r="136" spans="1:28" x14ac:dyDescent="0.25">
      <c r="A136" s="35" t="s">
        <v>6</v>
      </c>
      <c r="B136" s="34" t="s">
        <v>6</v>
      </c>
      <c r="C136" s="34" t="s">
        <v>6</v>
      </c>
      <c r="D136" s="34" t="s">
        <v>6</v>
      </c>
      <c r="E136" s="34" t="s">
        <v>6</v>
      </c>
      <c r="F136" s="34" t="s">
        <v>6</v>
      </c>
      <c r="G136" s="34" t="s">
        <v>6</v>
      </c>
      <c r="H136" s="34" t="s">
        <v>6</v>
      </c>
      <c r="I136" s="38">
        <v>0</v>
      </c>
      <c r="J136" s="38">
        <v>0</v>
      </c>
      <c r="K136" s="38">
        <v>0</v>
      </c>
      <c r="L136" s="38">
        <v>0</v>
      </c>
      <c r="M136" s="38">
        <v>0</v>
      </c>
      <c r="N136" s="38">
        <v>0</v>
      </c>
      <c r="O136" s="38">
        <v>0</v>
      </c>
      <c r="P136" s="38">
        <v>0</v>
      </c>
      <c r="Q136" s="38">
        <v>0</v>
      </c>
      <c r="R136" s="38">
        <v>0</v>
      </c>
      <c r="S136" s="38">
        <v>0</v>
      </c>
      <c r="T136" s="38">
        <v>0</v>
      </c>
      <c r="U136" s="38">
        <v>0</v>
      </c>
      <c r="V136" s="38">
        <v>0</v>
      </c>
      <c r="W136" s="35" t="s">
        <v>6</v>
      </c>
      <c r="X136" s="35" t="s">
        <v>6</v>
      </c>
      <c r="Y136" s="35" t="s">
        <v>6</v>
      </c>
      <c r="Z136" s="35" t="s">
        <v>6</v>
      </c>
      <c r="AA136" s="34" t="s">
        <v>6</v>
      </c>
      <c r="AB136" s="34" t="s">
        <v>6</v>
      </c>
    </row>
    <row r="137" spans="1:28" x14ac:dyDescent="0.25">
      <c r="A137" s="35" t="s">
        <v>6</v>
      </c>
      <c r="B137" s="34" t="s">
        <v>6</v>
      </c>
      <c r="C137" s="34" t="s">
        <v>6</v>
      </c>
      <c r="D137" s="34" t="s">
        <v>6</v>
      </c>
      <c r="E137" s="34" t="s">
        <v>6</v>
      </c>
      <c r="F137" s="34" t="s">
        <v>6</v>
      </c>
      <c r="G137" s="34" t="s">
        <v>6</v>
      </c>
      <c r="H137" s="34" t="s">
        <v>6</v>
      </c>
      <c r="I137" s="38">
        <v>0</v>
      </c>
      <c r="J137" s="38">
        <v>0</v>
      </c>
      <c r="K137" s="38">
        <v>0</v>
      </c>
      <c r="L137" s="38">
        <v>0</v>
      </c>
      <c r="M137" s="38">
        <v>0</v>
      </c>
      <c r="N137" s="38">
        <v>0</v>
      </c>
      <c r="O137" s="38">
        <v>0</v>
      </c>
      <c r="P137" s="38">
        <v>0</v>
      </c>
      <c r="Q137" s="38">
        <v>0</v>
      </c>
      <c r="R137" s="38">
        <v>0</v>
      </c>
      <c r="S137" s="38">
        <v>0</v>
      </c>
      <c r="T137" s="38">
        <v>0</v>
      </c>
      <c r="U137" s="38">
        <v>0</v>
      </c>
      <c r="V137" s="38">
        <v>0</v>
      </c>
      <c r="W137" s="35" t="s">
        <v>6</v>
      </c>
      <c r="X137" s="35" t="s">
        <v>6</v>
      </c>
      <c r="Y137" s="35" t="s">
        <v>6</v>
      </c>
      <c r="Z137" s="35" t="s">
        <v>6</v>
      </c>
      <c r="AA137" s="34" t="s">
        <v>6</v>
      </c>
      <c r="AB137" s="34" t="s">
        <v>6</v>
      </c>
    </row>
    <row r="138" spans="1:28" x14ac:dyDescent="0.25">
      <c r="A138" s="35" t="s">
        <v>6</v>
      </c>
      <c r="B138" s="34" t="s">
        <v>6</v>
      </c>
      <c r="C138" s="34" t="s">
        <v>6</v>
      </c>
      <c r="D138" s="34" t="s">
        <v>6</v>
      </c>
      <c r="E138" s="34" t="s">
        <v>6</v>
      </c>
      <c r="F138" s="34" t="s">
        <v>6</v>
      </c>
      <c r="G138" s="34" t="s">
        <v>6</v>
      </c>
      <c r="H138" s="34" t="s">
        <v>6</v>
      </c>
      <c r="I138" s="38">
        <v>0</v>
      </c>
      <c r="J138" s="38">
        <v>0</v>
      </c>
      <c r="K138" s="38">
        <v>0</v>
      </c>
      <c r="L138" s="38">
        <v>0</v>
      </c>
      <c r="M138" s="38">
        <v>0</v>
      </c>
      <c r="N138" s="38">
        <v>0</v>
      </c>
      <c r="O138" s="38">
        <v>0</v>
      </c>
      <c r="P138" s="38">
        <v>0</v>
      </c>
      <c r="Q138" s="38">
        <v>0</v>
      </c>
      <c r="R138" s="38">
        <v>0</v>
      </c>
      <c r="S138" s="38">
        <v>0</v>
      </c>
      <c r="T138" s="38">
        <v>0</v>
      </c>
      <c r="U138" s="38">
        <v>0</v>
      </c>
      <c r="V138" s="38">
        <v>0</v>
      </c>
      <c r="W138" s="35" t="s">
        <v>6</v>
      </c>
      <c r="X138" s="35" t="s">
        <v>6</v>
      </c>
      <c r="Y138" s="35" t="s">
        <v>6</v>
      </c>
      <c r="Z138" s="35" t="s">
        <v>6</v>
      </c>
      <c r="AA138" s="34" t="s">
        <v>6</v>
      </c>
      <c r="AB138" s="34" t="s">
        <v>6</v>
      </c>
    </row>
    <row r="139" spans="1:28" x14ac:dyDescent="0.25">
      <c r="A139" s="35" t="s">
        <v>6</v>
      </c>
      <c r="B139" s="34" t="s">
        <v>6</v>
      </c>
      <c r="C139" s="34" t="s">
        <v>6</v>
      </c>
      <c r="D139" s="34" t="s">
        <v>6</v>
      </c>
      <c r="E139" s="34" t="s">
        <v>6</v>
      </c>
      <c r="F139" s="34" t="s">
        <v>6</v>
      </c>
      <c r="G139" s="34" t="s">
        <v>6</v>
      </c>
      <c r="H139" s="34" t="s">
        <v>6</v>
      </c>
      <c r="I139" s="38">
        <v>0</v>
      </c>
      <c r="J139" s="38">
        <v>0</v>
      </c>
      <c r="K139" s="38">
        <v>0</v>
      </c>
      <c r="L139" s="38">
        <v>0</v>
      </c>
      <c r="M139" s="38">
        <v>0</v>
      </c>
      <c r="N139" s="38">
        <v>0</v>
      </c>
      <c r="O139" s="38">
        <v>0</v>
      </c>
      <c r="P139" s="38">
        <v>0</v>
      </c>
      <c r="Q139" s="38">
        <v>0</v>
      </c>
      <c r="R139" s="38">
        <v>0</v>
      </c>
      <c r="S139" s="38">
        <v>0</v>
      </c>
      <c r="T139" s="38">
        <v>0</v>
      </c>
      <c r="U139" s="38">
        <v>0</v>
      </c>
      <c r="V139" s="38">
        <v>0</v>
      </c>
      <c r="W139" s="35" t="s">
        <v>6</v>
      </c>
      <c r="X139" s="35" t="s">
        <v>6</v>
      </c>
      <c r="Y139" s="35" t="s">
        <v>6</v>
      </c>
      <c r="Z139" s="35" t="s">
        <v>6</v>
      </c>
      <c r="AA139" s="34" t="s">
        <v>6</v>
      </c>
      <c r="AB139" s="34" t="s">
        <v>6</v>
      </c>
    </row>
    <row r="140" spans="1:28" x14ac:dyDescent="0.25">
      <c r="A140" s="35" t="s">
        <v>6</v>
      </c>
      <c r="B140" s="34" t="s">
        <v>6</v>
      </c>
      <c r="C140" s="34" t="s">
        <v>6</v>
      </c>
      <c r="D140" s="34" t="s">
        <v>6</v>
      </c>
      <c r="E140" s="34" t="s">
        <v>6</v>
      </c>
      <c r="F140" s="34" t="s">
        <v>6</v>
      </c>
      <c r="G140" s="34" t="s">
        <v>6</v>
      </c>
      <c r="H140" s="34" t="s">
        <v>6</v>
      </c>
      <c r="I140" s="38">
        <v>0</v>
      </c>
      <c r="J140" s="38">
        <v>0</v>
      </c>
      <c r="K140" s="38">
        <v>0</v>
      </c>
      <c r="L140" s="38">
        <v>0</v>
      </c>
      <c r="M140" s="38">
        <v>0</v>
      </c>
      <c r="N140" s="38">
        <v>0</v>
      </c>
      <c r="O140" s="38">
        <v>0</v>
      </c>
      <c r="P140" s="38">
        <v>0</v>
      </c>
      <c r="Q140" s="38">
        <v>0</v>
      </c>
      <c r="R140" s="38">
        <v>0</v>
      </c>
      <c r="S140" s="38">
        <v>0</v>
      </c>
      <c r="T140" s="38">
        <v>0</v>
      </c>
      <c r="U140" s="38">
        <v>0</v>
      </c>
      <c r="V140" s="38">
        <v>0</v>
      </c>
      <c r="W140" s="35" t="s">
        <v>6</v>
      </c>
      <c r="X140" s="35" t="s">
        <v>6</v>
      </c>
      <c r="Y140" s="35" t="s">
        <v>6</v>
      </c>
      <c r="Z140" s="35" t="s">
        <v>6</v>
      </c>
      <c r="AA140" s="34" t="s">
        <v>6</v>
      </c>
      <c r="AB140" s="34" t="s">
        <v>6</v>
      </c>
    </row>
    <row r="141" spans="1:28" x14ac:dyDescent="0.25">
      <c r="A141" s="35" t="s">
        <v>6</v>
      </c>
      <c r="B141" s="34" t="s">
        <v>6</v>
      </c>
      <c r="C141" s="34" t="s">
        <v>6</v>
      </c>
      <c r="D141" s="34" t="s">
        <v>6</v>
      </c>
      <c r="E141" s="34" t="s">
        <v>6</v>
      </c>
      <c r="F141" s="34" t="s">
        <v>6</v>
      </c>
      <c r="G141" s="34" t="s">
        <v>6</v>
      </c>
      <c r="H141" s="34" t="s">
        <v>6</v>
      </c>
      <c r="I141" s="38">
        <v>0</v>
      </c>
      <c r="J141" s="38">
        <v>0</v>
      </c>
      <c r="K141" s="38">
        <v>0</v>
      </c>
      <c r="L141" s="38">
        <v>0</v>
      </c>
      <c r="M141" s="38">
        <v>0</v>
      </c>
      <c r="N141" s="38">
        <v>0</v>
      </c>
      <c r="O141" s="38">
        <v>0</v>
      </c>
      <c r="P141" s="38">
        <v>0</v>
      </c>
      <c r="Q141" s="38">
        <v>0</v>
      </c>
      <c r="R141" s="38">
        <v>0</v>
      </c>
      <c r="S141" s="38">
        <v>0</v>
      </c>
      <c r="T141" s="38">
        <v>0</v>
      </c>
      <c r="U141" s="38">
        <v>0</v>
      </c>
      <c r="V141" s="38">
        <v>0</v>
      </c>
      <c r="W141" s="35" t="s">
        <v>6</v>
      </c>
      <c r="X141" s="35" t="s">
        <v>6</v>
      </c>
      <c r="Y141" s="35" t="s">
        <v>6</v>
      </c>
      <c r="Z141" s="35" t="s">
        <v>6</v>
      </c>
      <c r="AA141" s="34" t="s">
        <v>6</v>
      </c>
      <c r="AB141" s="34" t="s">
        <v>6</v>
      </c>
    </row>
    <row r="142" spans="1:28" x14ac:dyDescent="0.25">
      <c r="A142" s="35" t="s">
        <v>6</v>
      </c>
      <c r="B142" s="34" t="s">
        <v>6</v>
      </c>
      <c r="C142" s="34" t="s">
        <v>6</v>
      </c>
      <c r="D142" s="34" t="s">
        <v>6</v>
      </c>
      <c r="E142" s="34" t="s">
        <v>6</v>
      </c>
      <c r="F142" s="34" t="s">
        <v>6</v>
      </c>
      <c r="G142" s="34" t="s">
        <v>6</v>
      </c>
      <c r="H142" s="34" t="s">
        <v>6</v>
      </c>
      <c r="I142" s="38">
        <v>0</v>
      </c>
      <c r="J142" s="38">
        <v>0</v>
      </c>
      <c r="K142" s="38">
        <v>0</v>
      </c>
      <c r="L142" s="38">
        <v>0</v>
      </c>
      <c r="M142" s="38">
        <v>0</v>
      </c>
      <c r="N142" s="38">
        <v>0</v>
      </c>
      <c r="O142" s="38">
        <v>0</v>
      </c>
      <c r="P142" s="38">
        <v>0</v>
      </c>
      <c r="Q142" s="38">
        <v>0</v>
      </c>
      <c r="R142" s="38">
        <v>0</v>
      </c>
      <c r="S142" s="38">
        <v>0</v>
      </c>
      <c r="T142" s="38">
        <v>0</v>
      </c>
      <c r="U142" s="38">
        <v>0</v>
      </c>
      <c r="V142" s="38">
        <v>0</v>
      </c>
      <c r="W142" s="35" t="s">
        <v>6</v>
      </c>
      <c r="X142" s="35" t="s">
        <v>6</v>
      </c>
      <c r="Y142" s="35" t="s">
        <v>6</v>
      </c>
      <c r="Z142" s="35" t="s">
        <v>6</v>
      </c>
      <c r="AA142" s="34" t="s">
        <v>6</v>
      </c>
      <c r="AB142" s="34" t="s">
        <v>6</v>
      </c>
    </row>
    <row r="143" spans="1:28" x14ac:dyDescent="0.25">
      <c r="A143" s="35" t="s">
        <v>6</v>
      </c>
      <c r="B143" s="34" t="s">
        <v>6</v>
      </c>
      <c r="C143" s="34" t="s">
        <v>6</v>
      </c>
      <c r="D143" s="34" t="s">
        <v>6</v>
      </c>
      <c r="E143" s="34" t="s">
        <v>6</v>
      </c>
      <c r="F143" s="34" t="s">
        <v>6</v>
      </c>
      <c r="G143" s="34" t="s">
        <v>6</v>
      </c>
      <c r="H143" s="34" t="s">
        <v>6</v>
      </c>
      <c r="I143" s="38">
        <v>0</v>
      </c>
      <c r="J143" s="38">
        <v>0</v>
      </c>
      <c r="K143" s="38">
        <v>0</v>
      </c>
      <c r="L143" s="38">
        <v>0</v>
      </c>
      <c r="M143" s="38">
        <v>0</v>
      </c>
      <c r="N143" s="38">
        <v>0</v>
      </c>
      <c r="O143" s="38">
        <v>0</v>
      </c>
      <c r="P143" s="38">
        <v>0</v>
      </c>
      <c r="Q143" s="38">
        <v>0</v>
      </c>
      <c r="R143" s="38">
        <v>0</v>
      </c>
      <c r="S143" s="38">
        <v>0</v>
      </c>
      <c r="T143" s="38">
        <v>0</v>
      </c>
      <c r="U143" s="38">
        <v>0</v>
      </c>
      <c r="V143" s="38">
        <v>0</v>
      </c>
      <c r="W143" s="35" t="s">
        <v>6</v>
      </c>
      <c r="X143" s="35" t="s">
        <v>6</v>
      </c>
      <c r="Y143" s="35" t="s">
        <v>6</v>
      </c>
      <c r="Z143" s="35" t="s">
        <v>6</v>
      </c>
      <c r="AA143" s="34" t="s">
        <v>6</v>
      </c>
      <c r="AB143" s="34" t="s">
        <v>6</v>
      </c>
    </row>
    <row r="144" spans="1:28" x14ac:dyDescent="0.25">
      <c r="A144" s="35" t="s">
        <v>6</v>
      </c>
      <c r="B144" s="34" t="s">
        <v>6</v>
      </c>
      <c r="C144" s="34" t="s">
        <v>6</v>
      </c>
      <c r="D144" s="34" t="s">
        <v>6</v>
      </c>
      <c r="E144" s="34" t="s">
        <v>6</v>
      </c>
      <c r="F144" s="34" t="s">
        <v>6</v>
      </c>
      <c r="G144" s="34" t="s">
        <v>6</v>
      </c>
      <c r="H144" s="34" t="s">
        <v>6</v>
      </c>
      <c r="I144" s="38">
        <v>0</v>
      </c>
      <c r="J144" s="38">
        <v>0</v>
      </c>
      <c r="K144" s="38">
        <v>0</v>
      </c>
      <c r="L144" s="38">
        <v>0</v>
      </c>
      <c r="M144" s="38">
        <v>0</v>
      </c>
      <c r="N144" s="38">
        <v>0</v>
      </c>
      <c r="O144" s="38">
        <v>0</v>
      </c>
      <c r="P144" s="38">
        <v>0</v>
      </c>
      <c r="Q144" s="38">
        <v>0</v>
      </c>
      <c r="R144" s="38">
        <v>0</v>
      </c>
      <c r="S144" s="38">
        <v>0</v>
      </c>
      <c r="T144" s="38">
        <v>0</v>
      </c>
      <c r="U144" s="38">
        <v>0</v>
      </c>
      <c r="V144" s="38">
        <v>0</v>
      </c>
      <c r="W144" s="35" t="s">
        <v>6</v>
      </c>
      <c r="X144" s="35" t="s">
        <v>6</v>
      </c>
      <c r="Y144" s="35" t="s">
        <v>6</v>
      </c>
      <c r="Z144" s="35" t="s">
        <v>6</v>
      </c>
      <c r="AA144" s="34" t="s">
        <v>6</v>
      </c>
      <c r="AB144" s="34" t="s">
        <v>6</v>
      </c>
    </row>
    <row r="145" spans="1:28" x14ac:dyDescent="0.25">
      <c r="A145" s="35" t="s">
        <v>6</v>
      </c>
      <c r="B145" s="34" t="s">
        <v>6</v>
      </c>
      <c r="C145" s="34" t="s">
        <v>6</v>
      </c>
      <c r="D145" s="34" t="s">
        <v>6</v>
      </c>
      <c r="E145" s="34" t="s">
        <v>6</v>
      </c>
      <c r="F145" s="34" t="s">
        <v>6</v>
      </c>
      <c r="G145" s="34" t="s">
        <v>6</v>
      </c>
      <c r="H145" s="34" t="s">
        <v>6</v>
      </c>
      <c r="I145" s="38">
        <v>0</v>
      </c>
      <c r="J145" s="38">
        <v>0</v>
      </c>
      <c r="K145" s="38">
        <v>0</v>
      </c>
      <c r="L145" s="38">
        <v>0</v>
      </c>
      <c r="M145" s="38">
        <v>0</v>
      </c>
      <c r="N145" s="38">
        <v>0</v>
      </c>
      <c r="O145" s="38">
        <v>0</v>
      </c>
      <c r="P145" s="38">
        <v>0</v>
      </c>
      <c r="Q145" s="38">
        <v>0</v>
      </c>
      <c r="R145" s="38">
        <v>0</v>
      </c>
      <c r="S145" s="38">
        <v>0</v>
      </c>
      <c r="T145" s="38">
        <v>0</v>
      </c>
      <c r="U145" s="38">
        <v>0</v>
      </c>
      <c r="V145" s="38">
        <v>0</v>
      </c>
      <c r="W145" s="35" t="s">
        <v>6</v>
      </c>
      <c r="X145" s="35" t="s">
        <v>6</v>
      </c>
      <c r="Y145" s="35" t="s">
        <v>6</v>
      </c>
      <c r="Z145" s="35" t="s">
        <v>6</v>
      </c>
      <c r="AA145" s="34" t="s">
        <v>6</v>
      </c>
      <c r="AB145" s="34" t="s">
        <v>6</v>
      </c>
    </row>
    <row r="146" spans="1:28" x14ac:dyDescent="0.25">
      <c r="A146" s="35" t="s">
        <v>6</v>
      </c>
      <c r="B146" s="34" t="s">
        <v>6</v>
      </c>
      <c r="C146" s="34" t="s">
        <v>6</v>
      </c>
      <c r="D146" s="34" t="s">
        <v>6</v>
      </c>
      <c r="E146" s="34" t="s">
        <v>6</v>
      </c>
      <c r="F146" s="34" t="s">
        <v>6</v>
      </c>
      <c r="G146" s="34" t="s">
        <v>6</v>
      </c>
      <c r="H146" s="34" t="s">
        <v>6</v>
      </c>
      <c r="I146" s="38">
        <v>0</v>
      </c>
      <c r="J146" s="38">
        <v>0</v>
      </c>
      <c r="K146" s="38">
        <v>0</v>
      </c>
      <c r="L146" s="38">
        <v>0</v>
      </c>
      <c r="M146" s="38">
        <v>0</v>
      </c>
      <c r="N146" s="38">
        <v>0</v>
      </c>
      <c r="O146" s="38">
        <v>0</v>
      </c>
      <c r="P146" s="38">
        <v>0</v>
      </c>
      <c r="Q146" s="38">
        <v>0</v>
      </c>
      <c r="R146" s="38">
        <v>0</v>
      </c>
      <c r="S146" s="38">
        <v>0</v>
      </c>
      <c r="T146" s="38">
        <v>0</v>
      </c>
      <c r="U146" s="38">
        <v>0</v>
      </c>
      <c r="V146" s="38">
        <v>0</v>
      </c>
      <c r="W146" s="35" t="s">
        <v>6</v>
      </c>
      <c r="X146" s="35" t="s">
        <v>6</v>
      </c>
      <c r="Y146" s="35" t="s">
        <v>6</v>
      </c>
      <c r="Z146" s="35" t="s">
        <v>6</v>
      </c>
      <c r="AA146" s="34" t="s">
        <v>6</v>
      </c>
      <c r="AB146" s="34" t="s">
        <v>6</v>
      </c>
    </row>
    <row r="147" spans="1:28" x14ac:dyDescent="0.25">
      <c r="A147" s="35" t="s">
        <v>6</v>
      </c>
      <c r="B147" s="34" t="s">
        <v>6</v>
      </c>
      <c r="C147" s="34" t="s">
        <v>6</v>
      </c>
      <c r="D147" s="34" t="s">
        <v>6</v>
      </c>
      <c r="E147" s="34" t="s">
        <v>6</v>
      </c>
      <c r="F147" s="34" t="s">
        <v>6</v>
      </c>
      <c r="G147" s="34" t="s">
        <v>6</v>
      </c>
      <c r="H147" s="34" t="s">
        <v>6</v>
      </c>
      <c r="I147" s="38">
        <v>0</v>
      </c>
      <c r="J147" s="38">
        <v>0</v>
      </c>
      <c r="K147" s="38">
        <v>0</v>
      </c>
      <c r="L147" s="38">
        <v>0</v>
      </c>
      <c r="M147" s="38">
        <v>0</v>
      </c>
      <c r="N147" s="38">
        <v>0</v>
      </c>
      <c r="O147" s="38">
        <v>0</v>
      </c>
      <c r="P147" s="38">
        <v>0</v>
      </c>
      <c r="Q147" s="38">
        <v>0</v>
      </c>
      <c r="R147" s="38">
        <v>0</v>
      </c>
      <c r="S147" s="38">
        <v>0</v>
      </c>
      <c r="T147" s="38">
        <v>0</v>
      </c>
      <c r="U147" s="38">
        <v>0</v>
      </c>
      <c r="V147" s="38">
        <v>0</v>
      </c>
      <c r="W147" s="35" t="s">
        <v>6</v>
      </c>
      <c r="X147" s="35" t="s">
        <v>6</v>
      </c>
      <c r="Y147" s="35" t="s">
        <v>6</v>
      </c>
      <c r="Z147" s="35" t="s">
        <v>6</v>
      </c>
      <c r="AA147" s="34" t="s">
        <v>6</v>
      </c>
      <c r="AB147" s="34" t="s">
        <v>6</v>
      </c>
    </row>
    <row r="148" spans="1:28" x14ac:dyDescent="0.25">
      <c r="A148" s="35" t="s">
        <v>6</v>
      </c>
      <c r="B148" s="34" t="s">
        <v>6</v>
      </c>
      <c r="C148" s="34" t="s">
        <v>6</v>
      </c>
      <c r="D148" s="34" t="s">
        <v>6</v>
      </c>
      <c r="E148" s="34" t="s">
        <v>6</v>
      </c>
      <c r="F148" s="34" t="s">
        <v>6</v>
      </c>
      <c r="G148" s="34" t="s">
        <v>6</v>
      </c>
      <c r="H148" s="34" t="s">
        <v>6</v>
      </c>
      <c r="I148" s="38">
        <v>0</v>
      </c>
      <c r="J148" s="38">
        <v>0</v>
      </c>
      <c r="K148" s="38">
        <v>0</v>
      </c>
      <c r="L148" s="38">
        <v>0</v>
      </c>
      <c r="M148" s="38">
        <v>0</v>
      </c>
      <c r="N148" s="38">
        <v>0</v>
      </c>
      <c r="O148" s="38">
        <v>0</v>
      </c>
      <c r="P148" s="38">
        <v>0</v>
      </c>
      <c r="Q148" s="38">
        <v>0</v>
      </c>
      <c r="R148" s="38">
        <v>0</v>
      </c>
      <c r="S148" s="38">
        <v>0</v>
      </c>
      <c r="T148" s="38">
        <v>0</v>
      </c>
      <c r="U148" s="38">
        <v>0</v>
      </c>
      <c r="V148" s="38">
        <v>0</v>
      </c>
      <c r="W148" s="35" t="s">
        <v>6</v>
      </c>
      <c r="X148" s="35" t="s">
        <v>6</v>
      </c>
      <c r="Y148" s="35" t="s">
        <v>6</v>
      </c>
      <c r="Z148" s="35" t="s">
        <v>6</v>
      </c>
      <c r="AA148" s="34" t="s">
        <v>6</v>
      </c>
      <c r="AB148" s="34" t="s">
        <v>6</v>
      </c>
    </row>
    <row r="149" spans="1:28" x14ac:dyDescent="0.25">
      <c r="A149" s="35" t="s">
        <v>6</v>
      </c>
      <c r="B149" s="34" t="s">
        <v>6</v>
      </c>
      <c r="C149" s="34" t="s">
        <v>6</v>
      </c>
      <c r="D149" s="34" t="s">
        <v>6</v>
      </c>
      <c r="E149" s="34" t="s">
        <v>6</v>
      </c>
      <c r="F149" s="34" t="s">
        <v>6</v>
      </c>
      <c r="G149" s="34" t="s">
        <v>6</v>
      </c>
      <c r="H149" s="34" t="s">
        <v>6</v>
      </c>
      <c r="I149" s="38">
        <v>0</v>
      </c>
      <c r="J149" s="38">
        <v>0</v>
      </c>
      <c r="K149" s="38">
        <v>0</v>
      </c>
      <c r="L149" s="38">
        <v>0</v>
      </c>
      <c r="M149" s="38">
        <v>0</v>
      </c>
      <c r="N149" s="38">
        <v>0</v>
      </c>
      <c r="O149" s="38">
        <v>0</v>
      </c>
      <c r="P149" s="38">
        <v>0</v>
      </c>
      <c r="Q149" s="38">
        <v>0</v>
      </c>
      <c r="R149" s="38">
        <v>0</v>
      </c>
      <c r="S149" s="38">
        <v>0</v>
      </c>
      <c r="T149" s="38">
        <v>0</v>
      </c>
      <c r="U149" s="38">
        <v>0</v>
      </c>
      <c r="V149" s="38">
        <v>0</v>
      </c>
      <c r="W149" s="35" t="s">
        <v>6</v>
      </c>
      <c r="X149" s="35" t="s">
        <v>6</v>
      </c>
      <c r="Y149" s="35" t="s">
        <v>6</v>
      </c>
      <c r="Z149" s="35" t="s">
        <v>6</v>
      </c>
      <c r="AA149" s="34" t="s">
        <v>6</v>
      </c>
      <c r="AB149" s="34" t="s">
        <v>6</v>
      </c>
    </row>
    <row r="150" spans="1:28" x14ac:dyDescent="0.25">
      <c r="A150" s="35" t="s">
        <v>6</v>
      </c>
      <c r="B150" s="34" t="s">
        <v>6</v>
      </c>
      <c r="C150" s="34" t="s">
        <v>6</v>
      </c>
      <c r="D150" s="34" t="s">
        <v>6</v>
      </c>
      <c r="E150" s="34" t="s">
        <v>6</v>
      </c>
      <c r="F150" s="34" t="s">
        <v>6</v>
      </c>
      <c r="G150" s="34" t="s">
        <v>6</v>
      </c>
      <c r="H150" s="34" t="s">
        <v>6</v>
      </c>
      <c r="I150" s="38">
        <v>0</v>
      </c>
      <c r="J150" s="38">
        <v>0</v>
      </c>
      <c r="K150" s="38">
        <v>0</v>
      </c>
      <c r="L150" s="38">
        <v>0</v>
      </c>
      <c r="M150" s="38">
        <v>0</v>
      </c>
      <c r="N150" s="38">
        <v>0</v>
      </c>
      <c r="O150" s="38">
        <v>0</v>
      </c>
      <c r="P150" s="38">
        <v>0</v>
      </c>
      <c r="Q150" s="38">
        <v>0</v>
      </c>
      <c r="R150" s="38">
        <v>0</v>
      </c>
      <c r="S150" s="38">
        <v>0</v>
      </c>
      <c r="T150" s="38">
        <v>0</v>
      </c>
      <c r="U150" s="38">
        <v>0</v>
      </c>
      <c r="V150" s="38">
        <v>0</v>
      </c>
      <c r="W150" s="35" t="s">
        <v>6</v>
      </c>
      <c r="X150" s="35" t="s">
        <v>6</v>
      </c>
      <c r="Y150" s="35" t="s">
        <v>6</v>
      </c>
      <c r="Z150" s="35" t="s">
        <v>6</v>
      </c>
      <c r="AA150" s="34" t="s">
        <v>6</v>
      </c>
      <c r="AB150" s="34" t="s">
        <v>6</v>
      </c>
    </row>
    <row r="151" spans="1:28" x14ac:dyDescent="0.25">
      <c r="A151" s="35" t="s">
        <v>6</v>
      </c>
      <c r="B151" s="34" t="s">
        <v>6</v>
      </c>
      <c r="C151" s="34" t="s">
        <v>6</v>
      </c>
      <c r="D151" s="34" t="s">
        <v>6</v>
      </c>
      <c r="E151" s="34" t="s">
        <v>6</v>
      </c>
      <c r="F151" s="34" t="s">
        <v>6</v>
      </c>
      <c r="G151" s="34" t="s">
        <v>6</v>
      </c>
      <c r="H151" s="34" t="s">
        <v>6</v>
      </c>
      <c r="I151" s="38">
        <v>0</v>
      </c>
      <c r="J151" s="38">
        <v>0</v>
      </c>
      <c r="K151" s="38">
        <v>0</v>
      </c>
      <c r="L151" s="38">
        <v>0</v>
      </c>
      <c r="M151" s="38">
        <v>0</v>
      </c>
      <c r="N151" s="38">
        <v>0</v>
      </c>
      <c r="O151" s="38">
        <v>0</v>
      </c>
      <c r="P151" s="38">
        <v>0</v>
      </c>
      <c r="Q151" s="38">
        <v>0</v>
      </c>
      <c r="R151" s="38">
        <v>0</v>
      </c>
      <c r="S151" s="38">
        <v>0</v>
      </c>
      <c r="T151" s="38">
        <v>0</v>
      </c>
      <c r="U151" s="38">
        <v>0</v>
      </c>
      <c r="V151" s="38">
        <v>0</v>
      </c>
      <c r="W151" s="35" t="s">
        <v>6</v>
      </c>
      <c r="X151" s="35" t="s">
        <v>6</v>
      </c>
      <c r="Y151" s="35" t="s">
        <v>6</v>
      </c>
      <c r="Z151" s="35" t="s">
        <v>6</v>
      </c>
      <c r="AA151" s="34" t="s">
        <v>6</v>
      </c>
      <c r="AB151" s="34" t="s">
        <v>6</v>
      </c>
    </row>
    <row r="152" spans="1:28" x14ac:dyDescent="0.25">
      <c r="A152" s="35" t="s">
        <v>6</v>
      </c>
      <c r="B152" s="34" t="s">
        <v>6</v>
      </c>
      <c r="C152" s="34" t="s">
        <v>6</v>
      </c>
      <c r="D152" s="34" t="s">
        <v>6</v>
      </c>
      <c r="E152" s="34" t="s">
        <v>6</v>
      </c>
      <c r="F152" s="34" t="s">
        <v>6</v>
      </c>
      <c r="G152" s="34" t="s">
        <v>6</v>
      </c>
      <c r="H152" s="34" t="s">
        <v>6</v>
      </c>
      <c r="I152" s="38">
        <v>0</v>
      </c>
      <c r="J152" s="38">
        <v>0</v>
      </c>
      <c r="K152" s="38">
        <v>0</v>
      </c>
      <c r="L152" s="38">
        <v>0</v>
      </c>
      <c r="M152" s="38">
        <v>0</v>
      </c>
      <c r="N152" s="38">
        <v>0</v>
      </c>
      <c r="O152" s="38">
        <v>0</v>
      </c>
      <c r="P152" s="38">
        <v>0</v>
      </c>
      <c r="Q152" s="38">
        <v>0</v>
      </c>
      <c r="R152" s="38">
        <v>0</v>
      </c>
      <c r="S152" s="38">
        <v>0</v>
      </c>
      <c r="T152" s="38">
        <v>0</v>
      </c>
      <c r="U152" s="38">
        <v>0</v>
      </c>
      <c r="V152" s="38">
        <v>0</v>
      </c>
      <c r="W152" s="35" t="s">
        <v>6</v>
      </c>
      <c r="X152" s="35" t="s">
        <v>6</v>
      </c>
      <c r="Y152" s="35" t="s">
        <v>6</v>
      </c>
      <c r="Z152" s="35" t="s">
        <v>6</v>
      </c>
      <c r="AA152" s="34" t="s">
        <v>6</v>
      </c>
      <c r="AB152" s="34" t="s">
        <v>6</v>
      </c>
    </row>
    <row r="153" spans="1:28" x14ac:dyDescent="0.25">
      <c r="A153" s="35" t="s">
        <v>6</v>
      </c>
      <c r="B153" s="34" t="s">
        <v>6</v>
      </c>
      <c r="C153" s="34" t="s">
        <v>6</v>
      </c>
      <c r="D153" s="34" t="s">
        <v>6</v>
      </c>
      <c r="E153" s="34" t="s">
        <v>6</v>
      </c>
      <c r="F153" s="34" t="s">
        <v>6</v>
      </c>
      <c r="G153" s="34" t="s">
        <v>6</v>
      </c>
      <c r="H153" s="34" t="s">
        <v>6</v>
      </c>
      <c r="I153" s="38">
        <v>0</v>
      </c>
      <c r="J153" s="38">
        <v>0</v>
      </c>
      <c r="K153" s="38">
        <v>0</v>
      </c>
      <c r="L153" s="38">
        <v>0</v>
      </c>
      <c r="M153" s="38">
        <v>0</v>
      </c>
      <c r="N153" s="38">
        <v>0</v>
      </c>
      <c r="O153" s="38">
        <v>0</v>
      </c>
      <c r="P153" s="38">
        <v>0</v>
      </c>
      <c r="Q153" s="38">
        <v>0</v>
      </c>
      <c r="R153" s="38">
        <v>0</v>
      </c>
      <c r="S153" s="38">
        <v>0</v>
      </c>
      <c r="T153" s="38">
        <v>0</v>
      </c>
      <c r="U153" s="38">
        <v>0</v>
      </c>
      <c r="V153" s="38">
        <v>0</v>
      </c>
      <c r="W153" s="35" t="s">
        <v>6</v>
      </c>
      <c r="X153" s="35" t="s">
        <v>6</v>
      </c>
      <c r="Y153" s="35" t="s">
        <v>6</v>
      </c>
      <c r="Z153" s="35" t="s">
        <v>6</v>
      </c>
      <c r="AA153" s="34" t="s">
        <v>6</v>
      </c>
      <c r="AB153" s="34" t="s">
        <v>6</v>
      </c>
    </row>
    <row r="154" spans="1:28" x14ac:dyDescent="0.25">
      <c r="A154" s="35" t="s">
        <v>6</v>
      </c>
      <c r="B154" s="34" t="s">
        <v>6</v>
      </c>
      <c r="C154" s="34" t="s">
        <v>6</v>
      </c>
      <c r="D154" s="34" t="s">
        <v>6</v>
      </c>
      <c r="E154" s="34" t="s">
        <v>6</v>
      </c>
      <c r="F154" s="34" t="s">
        <v>6</v>
      </c>
      <c r="G154" s="34" t="s">
        <v>6</v>
      </c>
      <c r="H154" s="34" t="s">
        <v>6</v>
      </c>
      <c r="I154" s="38">
        <v>0</v>
      </c>
      <c r="J154" s="38">
        <v>0</v>
      </c>
      <c r="K154" s="38">
        <v>0</v>
      </c>
      <c r="L154" s="38">
        <v>0</v>
      </c>
      <c r="M154" s="38">
        <v>0</v>
      </c>
      <c r="N154" s="38">
        <v>0</v>
      </c>
      <c r="O154" s="38">
        <v>0</v>
      </c>
      <c r="P154" s="38">
        <v>0</v>
      </c>
      <c r="Q154" s="38">
        <v>0</v>
      </c>
      <c r="R154" s="38">
        <v>0</v>
      </c>
      <c r="S154" s="38">
        <v>0</v>
      </c>
      <c r="T154" s="38">
        <v>0</v>
      </c>
      <c r="U154" s="38">
        <v>0</v>
      </c>
      <c r="V154" s="38">
        <v>0</v>
      </c>
      <c r="W154" s="35" t="s">
        <v>6</v>
      </c>
      <c r="X154" s="35" t="s">
        <v>6</v>
      </c>
      <c r="Y154" s="35" t="s">
        <v>6</v>
      </c>
      <c r="Z154" s="35" t="s">
        <v>6</v>
      </c>
      <c r="AA154" s="34" t="s">
        <v>6</v>
      </c>
      <c r="AB154" s="34" t="s">
        <v>6</v>
      </c>
    </row>
    <row r="155" spans="1:28" x14ac:dyDescent="0.25">
      <c r="A155" s="35" t="s">
        <v>6</v>
      </c>
      <c r="B155" s="34" t="s">
        <v>6</v>
      </c>
      <c r="C155" s="34" t="s">
        <v>6</v>
      </c>
      <c r="D155" s="34" t="s">
        <v>6</v>
      </c>
      <c r="E155" s="34" t="s">
        <v>6</v>
      </c>
      <c r="F155" s="34" t="s">
        <v>6</v>
      </c>
      <c r="G155" s="34" t="s">
        <v>6</v>
      </c>
      <c r="H155" s="34" t="s">
        <v>6</v>
      </c>
      <c r="I155" s="38">
        <v>0</v>
      </c>
      <c r="J155" s="38">
        <v>0</v>
      </c>
      <c r="K155" s="38">
        <v>0</v>
      </c>
      <c r="L155" s="38">
        <v>0</v>
      </c>
      <c r="M155" s="38">
        <v>0</v>
      </c>
      <c r="N155" s="38">
        <v>0</v>
      </c>
      <c r="O155" s="38">
        <v>0</v>
      </c>
      <c r="P155" s="38">
        <v>0</v>
      </c>
      <c r="Q155" s="38">
        <v>0</v>
      </c>
      <c r="R155" s="38">
        <v>0</v>
      </c>
      <c r="S155" s="38">
        <v>0</v>
      </c>
      <c r="T155" s="38">
        <v>0</v>
      </c>
      <c r="U155" s="38">
        <v>0</v>
      </c>
      <c r="V155" s="38">
        <v>0</v>
      </c>
      <c r="W155" s="35" t="s">
        <v>6</v>
      </c>
      <c r="X155" s="35" t="s">
        <v>6</v>
      </c>
      <c r="Y155" s="35" t="s">
        <v>6</v>
      </c>
      <c r="Z155" s="35" t="s">
        <v>6</v>
      </c>
      <c r="AA155" s="34" t="s">
        <v>6</v>
      </c>
      <c r="AB155" s="34" t="s">
        <v>6</v>
      </c>
    </row>
  </sheetData>
  <mergeCells count="1">
    <mergeCell ref="A2:A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CAPA</vt:lpstr>
      <vt:lpstr>1 - ALUNOS MATRICULADOS</vt:lpstr>
      <vt:lpstr>2 - PESSOAL_DOCENTE</vt:lpstr>
      <vt:lpstr>3 - INFRAESTRUTURAS</vt:lpstr>
      <vt:lpstr>4 - APROVEITAMENTO</vt:lpstr>
      <vt:lpstr>5 - ALUNOS REPETENTES</vt:lpstr>
      <vt:lpstr>6 - NECESSIDADES EDUCATIVA ESPE</vt:lpstr>
      <vt:lpstr>7 - PESSOAL_NAO_DOCENTE</vt:lpstr>
      <vt:lpstr>8 - ESCOLAS Q N ENVIARAM DADOS</vt:lpstr>
      <vt:lpstr>9 - CONSOLIDADO</vt:lpstr>
      <vt:lpstr>10 - BASE DE DADOS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Ministério da Educação de Angola - GEPE</dc:creator>
  <dc:title/>
  <dc:subject/>
  <dc:description/>
  <cp:keywords/>
  <cp:category/>
  <cp:lastModifiedBy>GEPE / SIGE 2024-2025</cp:lastModifiedBy>
  <dcterms:created xsi:type="dcterms:W3CDTF">2026-09-10T18:24:43Z</dcterms:created>
  <dcterms:modified xsi:type="dcterms:W3CDTF">2026-09-10T18:24:43Z</dcterms:modified>
</cp:coreProperties>
</file>